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78.30\Lorenzo\Garden\Fabbisogno irriguo\"/>
    </mc:Choice>
  </mc:AlternateContent>
  <xr:revisionPtr revIDLastSave="0" documentId="13_ncr:1_{CA45AA49-9C2E-4E51-AB20-7F6F573C64D8}" xr6:coauthVersionLast="47" xr6:coauthVersionMax="47" xr10:uidLastSave="{00000000-0000-0000-0000-000000000000}"/>
  <bookViews>
    <workbookView xWindow="-110" yWindow="-110" windowWidth="38620" windowHeight="21100" activeTab="2" xr2:uid="{AE1244A8-FC3B-4B60-ACA2-D6207D3B2BDF}"/>
  </bookViews>
  <sheets>
    <sheet name="Fabbisogno irriguo" sheetId="1" r:id="rId1"/>
    <sheet name="Dati meteo" sheetId="8" r:id="rId2"/>
    <sheet name="Evapotraspirazione" sheetId="4" r:id="rId3"/>
    <sheet name="Radiazione solare" sheetId="6" r:id="rId4"/>
    <sheet name="Data" sheetId="2" r:id="rId5"/>
    <sheet name="Data validation" sheetId="7" r:id="rId6"/>
    <sheet name="Reference" sheetId="3" r:id="rId7"/>
  </sheets>
  <definedNames>
    <definedName name="CostanteSolare">'Radiazione solare'!$D$6</definedName>
    <definedName name="Data_DeltaT">'Dati meteo'!$C$10:$I$10</definedName>
    <definedName name="Data_ET0_fao">'Dati meteo'!$C$19:$I$19</definedName>
    <definedName name="Data_ET0_Hargreaves">'Dati meteo'!$C$20:$I$20</definedName>
    <definedName name="Data_Giorno">'Dati meteo'!$C$17:$I$17</definedName>
    <definedName name="Data_PioggiaNetta">'Dati meteo'!$C$5:$I$5</definedName>
    <definedName name="Data_PrecipitazioniTot">'Dati meteo'!$C$4:$I$4</definedName>
    <definedName name="Data_RadiazioneSolareInc">'Dati meteo'!$C$14:$I$14</definedName>
    <definedName name="Data_Tmax">'Dati meteo'!$C$7:$I$7</definedName>
    <definedName name="Data_Tmed">'Dati meteo'!$C$8:$I$8</definedName>
    <definedName name="Data_Tmin">'Dati meteo'!$C$9:$I$9</definedName>
    <definedName name="Data_Umidità">'Dati meteo'!$C$13:$I$13</definedName>
    <definedName name="Data_VelocitàVento">'Dati meteo'!$C$15:$I$15</definedName>
    <definedName name="DeltaT_Hargreaves">Evapotraspirazione!$D$7</definedName>
    <definedName name="DV_Coltura">Tabella_CoefficienteColturale[Coltura]</definedName>
    <definedName name="DV_FormuleET">Tabella_MetodiET[Formule evapotraspirazione]</definedName>
    <definedName name="DV_MetodoIrriguo">Tabella_EfficienzaMetodoIrriguo[Metodo irriguo]</definedName>
    <definedName name="DV_StadioColturale">Tabella_StadiColturali[Stadio colturale]</definedName>
    <definedName name="DV_StatoAppezzamento">Tabella_StatoAppezzamento[Stato appezzamento]</definedName>
    <definedName name="ET0_Hargreaves">Evapotraspirazione!$D$12</definedName>
    <definedName name="ETp_Hargreaves">Evapotraspirazione!$D$13</definedName>
    <definedName name="GiornoAnno">Evapotraspirazione!$D$8</definedName>
    <definedName name="HC_Hargreaves">Evapotraspirazione!$D$10</definedName>
    <definedName name="Param_CoeffPioggiaNetta">'Fabbisogno irriguo'!$D$18</definedName>
    <definedName name="Param_Coltura">'Fabbisogno irriguo'!$D$8</definedName>
    <definedName name="Param_EffIrr">'Fabbisogno irriguo'!$D$6</definedName>
    <definedName name="Param_ET0_fao_settimanale">'Dati meteo'!$L$19</definedName>
    <definedName name="Param_ET0_Hargreaves_settimanale">'Dati meteo'!$L$20</definedName>
    <definedName name="Param_ETr">'Fabbisogno irriguo'!$D$17</definedName>
    <definedName name="Param_Kc">'Fabbisogno irriguo'!$D$10</definedName>
    <definedName name="Param_LatitudineDeg">'Fabbisogno irriguo'!$D$14</definedName>
    <definedName name="Param_LongitudineDeg">'Fabbisogno irriguo'!$D$15</definedName>
    <definedName name="Param_PioggiaNetta_sett">'Dati meteo'!$L$5</definedName>
    <definedName name="Param_StadioColturale">'Fabbisogno irriguo'!$D$9</definedName>
    <definedName name="Param_StatoAppezzamento">'Fabbisogno irriguo'!$D$13</definedName>
    <definedName name="RE_giornaliera">'Radiazione solare'!$D$13</definedName>
    <definedName name="Tmedia_Hargreaves">Evapotraspirazione!$D$6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6" l="1"/>
  <c r="D5" i="8"/>
  <c r="E5" i="8"/>
  <c r="F5" i="8"/>
  <c r="G5" i="8"/>
  <c r="H5" i="8"/>
  <c r="I5" i="8"/>
  <c r="C5" i="8"/>
  <c r="L19" i="8"/>
  <c r="D7" i="4"/>
  <c r="D11" i="8"/>
  <c r="D20" i="8" s="1"/>
  <c r="E11" i="8"/>
  <c r="F11" i="8"/>
  <c r="G11" i="8"/>
  <c r="H11" i="8"/>
  <c r="I11" i="8"/>
  <c r="C11" i="8"/>
  <c r="D10" i="8"/>
  <c r="E10" i="8"/>
  <c r="F10" i="8"/>
  <c r="G10" i="8"/>
  <c r="H10" i="8"/>
  <c r="I10" i="8"/>
  <c r="C10" i="8"/>
  <c r="I20" i="8" l="1"/>
  <c r="H20" i="8"/>
  <c r="L5" i="8"/>
  <c r="D19" i="1" s="1"/>
  <c r="C20" i="8"/>
  <c r="G20" i="8"/>
  <c r="F20" i="8"/>
  <c r="E20" i="8"/>
  <c r="D10" i="1" a="1"/>
  <c r="D10" i="1" s="1"/>
  <c r="F17" i="2"/>
  <c r="F25" i="2"/>
  <c r="F26" i="2"/>
  <c r="F23" i="2"/>
  <c r="F29" i="2"/>
  <c r="F33" i="2"/>
  <c r="F19" i="2"/>
  <c r="F21" i="2"/>
  <c r="F14" i="2"/>
  <c r="F13" i="2"/>
  <c r="F11" i="2"/>
  <c r="F24" i="2"/>
  <c r="F16" i="2"/>
  <c r="F36" i="2"/>
  <c r="F35" i="2"/>
  <c r="F27" i="2"/>
  <c r="F31" i="2"/>
  <c r="F34" i="2"/>
  <c r="F15" i="2"/>
  <c r="F37" i="2"/>
  <c r="F28" i="2"/>
  <c r="F12" i="2"/>
  <c r="F30" i="2"/>
  <c r="F18" i="2"/>
  <c r="F20" i="2"/>
  <c r="F32" i="2"/>
  <c r="F22" i="2"/>
  <c r="D5" i="6"/>
  <c r="L20" i="8" l="1"/>
  <c r="D17" i="1" s="1"/>
  <c r="D11" i="4"/>
  <c r="D10" i="6"/>
  <c r="D8" i="6"/>
  <c r="D9" i="6" s="1"/>
  <c r="D6" i="1"/>
  <c r="D22" i="1" l="1"/>
  <c r="F22" i="1" s="1"/>
  <c r="F33" i="1" s="1"/>
  <c r="D12" i="6"/>
  <c r="D13" i="6" s="1"/>
  <c r="D33" i="1" l="1"/>
  <c r="D12" i="4"/>
  <c r="D9" i="4"/>
  <c r="D13" i="4" l="1"/>
  <c r="D23" i="1" l="1"/>
  <c r="D24" i="1"/>
  <c r="D25" i="1" s="1"/>
  <c r="D34" i="1" s="1"/>
  <c r="F23" i="1"/>
  <c r="F24" i="1" s="1"/>
  <c r="F25" i="1" s="1"/>
  <c r="F34" i="1" s="1"/>
  <c r="D26" i="1" l="1"/>
  <c r="F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<sst xmlns="http://schemas.openxmlformats.org/spreadsheetml/2006/main" count="145" uniqueCount="131">
  <si>
    <t>Metodo irriguo</t>
  </si>
  <si>
    <t>Efficienza</t>
  </si>
  <si>
    <t>Sommersione</t>
  </si>
  <si>
    <t>Scorrimento</t>
  </si>
  <si>
    <t>Infiltrazione laterale</t>
  </si>
  <si>
    <t>Aspersione</t>
  </si>
  <si>
    <t>Goccia</t>
  </si>
  <si>
    <t>https://bur.regione.veneto.it/BurvServices/Pubblica/Download.aspx?name=2240_AllegatoB_337069.pdf&amp;type=9&amp;storico=False</t>
  </si>
  <si>
    <t>Temperatura aria</t>
  </si>
  <si>
    <t>Umidità relativa</t>
  </si>
  <si>
    <t>Radiazione solare incidente</t>
  </si>
  <si>
    <t>Velocità media del vento</t>
  </si>
  <si>
    <t>Albedo fogliare</t>
  </si>
  <si>
    <t>Area fogliare (LAI)</t>
  </si>
  <si>
    <t>Altezza media della canopy</t>
  </si>
  <si>
    <t>Coefficiente colturale</t>
  </si>
  <si>
    <t>Temperatura media giornaliera</t>
  </si>
  <si>
    <t>Calcolo semplificato (Hargreaves)</t>
  </si>
  <si>
    <t>Differenza di temperatura max, min</t>
  </si>
  <si>
    <t>Radiazione solare extraterrestre</t>
  </si>
  <si>
    <t>Coefficiente HC</t>
  </si>
  <si>
    <t>Data</t>
  </si>
  <si>
    <t>Temperatura minima</t>
  </si>
  <si>
    <t>Temperatura massima</t>
  </si>
  <si>
    <t>Evapotraspirazione potenziale</t>
  </si>
  <si>
    <t>Evapotraspirazione di riferimento</t>
  </si>
  <si>
    <t>Coltura</t>
  </si>
  <si>
    <t>Anguria</t>
  </si>
  <si>
    <t>Iniziale</t>
  </si>
  <si>
    <t>Sviluppo</t>
  </si>
  <si>
    <t>Finale</t>
  </si>
  <si>
    <t>Cavolo</t>
  </si>
  <si>
    <t xml:space="preserve">h max </t>
  </si>
  <si>
    <t>Carota</t>
  </si>
  <si>
    <t>Aglio</t>
  </si>
  <si>
    <t>https://www.fao.org/3/X0490E/x0490e0b.htm</t>
  </si>
  <si>
    <t>Lattuga</t>
  </si>
  <si>
    <t>Cipolla</t>
  </si>
  <si>
    <t>Spinacio</t>
  </si>
  <si>
    <t>Ravanello</t>
  </si>
  <si>
    <t>Melanzana</t>
  </si>
  <si>
    <t>Peperone</t>
  </si>
  <si>
    <t>Pomodoro</t>
  </si>
  <si>
    <t>Cetriolo</t>
  </si>
  <si>
    <t>Zucchino</t>
  </si>
  <si>
    <t>Melone</t>
  </si>
  <si>
    <t>Patate</t>
  </si>
  <si>
    <t>Fava</t>
  </si>
  <si>
    <t>Fragola</t>
  </si>
  <si>
    <t>Efficienza irrigua</t>
  </si>
  <si>
    <t>Pioggia netta</t>
  </si>
  <si>
    <t>Kc ini</t>
  </si>
  <si>
    <t>Kc dev</t>
  </si>
  <si>
    <t>Kc mid</t>
  </si>
  <si>
    <t>Kc end</t>
  </si>
  <si>
    <t>Radiazione extraterrestre</t>
  </si>
  <si>
    <t>Costante solare</t>
  </si>
  <si>
    <t>RE</t>
  </si>
  <si>
    <t>Formula evapotraspirazione</t>
  </si>
  <si>
    <t>Stadio colturale</t>
  </si>
  <si>
    <t>Calcolo del fabbisogno irriguo</t>
  </si>
  <si>
    <t>Superficie</t>
  </si>
  <si>
    <t>Fabbisogno irriguo unitario</t>
  </si>
  <si>
    <t>Fabbisogno irriguo totale</t>
  </si>
  <si>
    <t>Dati meteorologici</t>
  </si>
  <si>
    <t>Formule evapotraspirazione</t>
  </si>
  <si>
    <t>Hargreaves</t>
  </si>
  <si>
    <t>Temperatura media</t>
  </si>
  <si>
    <t>Metodo Hargreaves</t>
  </si>
  <si>
    <t>Giorno dell'anno</t>
  </si>
  <si>
    <t>Latitudine</t>
  </si>
  <si>
    <t>Decimazione solare</t>
  </si>
  <si>
    <t>Inverso distanza relativa terra-sole</t>
  </si>
  <si>
    <t>Angolo orario tramonto</t>
  </si>
  <si>
    <t>Latitudine (in rad)</t>
  </si>
  <si>
    <t>RE giornaliera</t>
  </si>
  <si>
    <t>Calcoli intermedi</t>
  </si>
  <si>
    <t>Parametri</t>
  </si>
  <si>
    <r>
      <t>ET</t>
    </r>
    <r>
      <rPr>
        <vertAlign val="subscript"/>
        <sz val="11"/>
        <color theme="1"/>
        <rFont val="Calibri"/>
        <family val="2"/>
        <scheme val="minor"/>
      </rPr>
      <t>0</t>
    </r>
  </si>
  <si>
    <r>
      <t>ET</t>
    </r>
    <r>
      <rPr>
        <vertAlign val="subscript"/>
        <sz val="11"/>
        <color theme="1"/>
        <rFont val="Calibri"/>
        <family val="2"/>
        <scheme val="minor"/>
      </rPr>
      <t>p</t>
    </r>
  </si>
  <si>
    <t>HC</t>
  </si>
  <si>
    <t>ΔT</t>
  </si>
  <si>
    <r>
      <t>T</t>
    </r>
    <r>
      <rPr>
        <vertAlign val="subscript"/>
        <sz val="11"/>
        <color theme="1"/>
        <rFont val="Calibri"/>
        <family val="2"/>
        <scheme val="minor"/>
      </rPr>
      <t>med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</si>
  <si>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</si>
  <si>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Appezzamento</t>
  </si>
  <si>
    <t>Stato appezzamento</t>
  </si>
  <si>
    <t>Protetto</t>
  </si>
  <si>
    <t>Aperto</t>
  </si>
  <si>
    <t>Kc med</t>
  </si>
  <si>
    <t>Fava (secca)</t>
  </si>
  <si>
    <t>Fagiolo</t>
  </si>
  <si>
    <t>Fagiolo (secco)</t>
  </si>
  <si>
    <t>Pisello</t>
  </si>
  <si>
    <t>Pisello (secco)</t>
  </si>
  <si>
    <t>Orzo</t>
  </si>
  <si>
    <t>Frumento invernale</t>
  </si>
  <si>
    <t>Mais dolce</t>
  </si>
  <si>
    <t>Mais</t>
  </si>
  <si>
    <t>Cipolla (secca)</t>
  </si>
  <si>
    <t>Centrale</t>
  </si>
  <si>
    <t>Media</t>
  </si>
  <si>
    <r>
      <t>Coefficiente colturale K</t>
    </r>
    <r>
      <rPr>
        <vertAlign val="subscript"/>
        <sz val="11"/>
        <color theme="1"/>
        <rFont val="Calibri"/>
        <family val="2"/>
        <scheme val="minor"/>
      </rPr>
      <t>c</t>
    </r>
  </si>
  <si>
    <t>Giornaliero</t>
  </si>
  <si>
    <t>Settimanale</t>
  </si>
  <si>
    <t>Irrigazione</t>
  </si>
  <si>
    <t xml:space="preserve"> </t>
  </si>
  <si>
    <t>Portata oraria sistema irriguo</t>
  </si>
  <si>
    <t>Durata irrigazione</t>
  </si>
  <si>
    <t>Costo irrigazione</t>
  </si>
  <si>
    <t>Costo acqua al mc</t>
  </si>
  <si>
    <r>
      <t>ET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(FAO)</t>
    </r>
  </si>
  <si>
    <t>Longitudine</t>
  </si>
  <si>
    <t>FAO</t>
  </si>
  <si>
    <r>
      <t>ET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(Hargreaves)</t>
    </r>
  </si>
  <si>
    <t>Metodo Penman-Monteith (FAO)</t>
  </si>
  <si>
    <t>Precipitazioni totali</t>
  </si>
  <si>
    <t>ΔT (Tmax - Tmin)</t>
  </si>
  <si>
    <t>*Da dati meteo</t>
  </si>
  <si>
    <t>*Da formula (vedi foglio 'evapotraspirazione')</t>
  </si>
  <si>
    <r>
      <t>T</t>
    </r>
    <r>
      <rPr>
        <vertAlign val="subscript"/>
        <sz val="11"/>
        <color theme="1"/>
        <rFont val="Calibri"/>
        <family val="2"/>
        <scheme val="minor"/>
      </rPr>
      <t>max</t>
    </r>
  </si>
  <si>
    <r>
      <t>T</t>
    </r>
    <r>
      <rPr>
        <vertAlign val="subscript"/>
        <sz val="11"/>
        <color theme="1"/>
        <rFont val="Calibri"/>
        <family val="2"/>
        <scheme val="minor"/>
      </rPr>
      <t>min</t>
    </r>
  </si>
  <si>
    <t>Temperatura massima giornaliera</t>
  </si>
  <si>
    <t>Temperatura minima giornaliera</t>
  </si>
  <si>
    <t>D</t>
  </si>
  <si>
    <t>Totale settimanale</t>
  </si>
  <si>
    <t>Sincronizza dati meteo</t>
  </si>
  <si>
    <t>Evapotraspirazione totale</t>
  </si>
  <si>
    <t>Pioggia netta totale</t>
  </si>
  <si>
    <t>Coefficiente pioggia netta</t>
  </si>
  <si>
    <r>
      <t>Calcolo esteso (FAO)</t>
    </r>
    <r>
      <rPr>
        <i/>
        <sz val="8"/>
        <color theme="1"/>
        <rFont val="Calibri"/>
        <family val="2"/>
        <scheme val="minor"/>
      </rPr>
      <t>*wip</t>
    </r>
  </si>
  <si>
    <t>*Fonte https://open-meteo.com/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</si>
</sst>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\ &quot;°C&quot;"/>
    <numFmt numFmtId="165" formatCode="0.00\ &quot;mm/d&quot;"/>
    <numFmt numFmtId="166" formatCode="0.0\ &quot;m&quot;"/>
    <numFmt numFmtId="167" formatCode="0.00\ &quot;mm/mq&quot;"/>
    <numFmt numFmtId="168" formatCode="0.00\ &quot;mc/ha&quot;"/>
    <numFmt numFmtId="169" formatCode="0.00\ &quot;l/mq&quot;"/>
    <numFmt numFmtId="170" formatCode="0.0\ &quot;mm&quot;"/>
    <numFmt numFmtId="171" formatCode="0.0\ &quot;°&quot;"/>
    <numFmt numFmtId="172" formatCode="0.00\ &quot;MJ/mq d&quot;"/>
    <numFmt numFmtId="173" formatCode="0.000\ &quot;MJ/mq min&quot;"/>
    <numFmt numFmtId="174" formatCode="0.0\ &quot;mm/mq&quot;"/>
    <numFmt numFmtId="175" formatCode="0.00\ &quot;l&quot;"/>
    <numFmt numFmtId="176" formatCode="0.00\ &quot;mq&quot;"/>
    <numFmt numFmtId="177" formatCode="0.00\ &quot;mc&quot;"/>
    <numFmt numFmtId="178" formatCode="#,##0.00\ [$€-410]"/>
    <numFmt numFmtId="179" formatCode="[$-410]d\-mmm;@"/>
    <numFmt numFmtId="180" formatCode="0.00\ &quot;mm&quot;"/>
    <numFmt numFmtId="181" formatCode="0.00\ &quot;°&quot;"/>
    <numFmt numFmtId="182" formatCode="0.00\ &quot;m/s&quot;"/>
    <numFmt numFmtId="183" formatCode="0.00\ &quot;%&quot;"/>
    <numFmt numFmtId="184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1" tint="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06">
    <xf numFmtId="0" fontId="0" fillId="0" borderId="0" xfId="0"/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Alignment="1">
      <alignment vertical="center" wrapText="1"/>
    </xf>
    <xf numFmtId="173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 vertical="center" textRotation="90" wrapText="1"/>
    </xf>
    <xf numFmtId="16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7" fontId="2" fillId="0" borderId="0" xfId="0" applyNumberFormat="1" applyFont="1"/>
    <xf numFmtId="169" fontId="0" fillId="0" borderId="0" xfId="0" applyNumberFormat="1"/>
    <xf numFmtId="168" fontId="0" fillId="0" borderId="0" xfId="0" applyNumberFormat="1"/>
    <xf numFmtId="168" fontId="2" fillId="0" borderId="0" xfId="0" applyNumberFormat="1" applyFont="1"/>
    <xf numFmtId="175" fontId="0" fillId="0" borderId="0" xfId="0" applyNumberFormat="1" applyAlignment="1">
      <alignment horizontal="center"/>
    </xf>
    <xf numFmtId="177" fontId="2" fillId="0" borderId="0" xfId="0" applyNumberFormat="1" applyFont="1" applyAlignment="1">
      <alignment horizontal="center"/>
    </xf>
    <xf numFmtId="16" fontId="0" fillId="0" borderId="0" xfId="0" applyNumberFormat="1"/>
    <xf numFmtId="14" fontId="0" fillId="0" borderId="0" xfId="0" applyNumberFormat="1"/>
    <xf numFmtId="0" fontId="0" fillId="2" borderId="0" xfId="0" applyFill="1" applyAlignment="1">
      <alignment horizontal="center"/>
    </xf>
    <xf numFmtId="176" fontId="0" fillId="2" borderId="0" xfId="0" applyNumberFormat="1" applyFill="1" applyAlignment="1">
      <alignment horizontal="center"/>
    </xf>
    <xf numFmtId="181" fontId="0" fillId="2" borderId="0" xfId="0" applyNumberFormat="1" applyFill="1" applyAlignment="1">
      <alignment horizontal="center"/>
    </xf>
    <xf numFmtId="0" fontId="8" fillId="0" borderId="0" xfId="0" applyFont="1"/>
    <xf numFmtId="178" fontId="0" fillId="2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4" fontId="0" fillId="2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0" fillId="0" borderId="0" xfId="0" applyNumberFormat="1"/>
    <xf numFmtId="17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83" fontId="0" fillId="0" borderId="0" xfId="1" applyNumberFormat="1" applyFon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1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17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75" fontId="0" fillId="0" borderId="0" xfId="0" applyNumberFormat="1"/>
    <xf numFmtId="177" fontId="2" fillId="0" borderId="0" xfId="0" applyNumberFormat="1" applyFont="1"/>
    <xf numFmtId="167" fontId="2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65" fontId="0" fillId="3" borderId="0" xfId="0" applyNumberFormat="1" applyFill="1" applyAlignment="1">
      <alignment horizontal="center"/>
    </xf>
    <xf numFmtId="0" fontId="12" fillId="0" borderId="0" xfId="0" applyFont="1" applyAlignment="1">
      <alignment horizontal="center" vertical="center"/>
    </xf>
    <xf numFmtId="170" fontId="0" fillId="0" borderId="5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5" fontId="0" fillId="0" borderId="5" xfId="0" applyNumberFormat="1" applyBorder="1"/>
    <xf numFmtId="165" fontId="0" fillId="0" borderId="4" xfId="0" applyNumberFormat="1" applyBorder="1"/>
    <xf numFmtId="183" fontId="0" fillId="0" borderId="5" xfId="1" applyNumberFormat="1" applyFont="1" applyBorder="1" applyAlignment="1">
      <alignment horizontal="center" vertical="center"/>
    </xf>
    <xf numFmtId="183" fontId="0" fillId="0" borderId="4" xfId="1" applyNumberFormat="1" applyFon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79" fontId="0" fillId="0" borderId="5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0" fontId="0" fillId="0" borderId="5" xfId="0" applyBorder="1"/>
    <xf numFmtId="0" fontId="0" fillId="0" borderId="4" xfId="0" applyBorder="1"/>
    <xf numFmtId="170" fontId="0" fillId="3" borderId="0" xfId="0" applyNumberFormat="1" applyFill="1" applyAlignment="1">
      <alignment horizontal="center" vertical="center"/>
    </xf>
    <xf numFmtId="0" fontId="6" fillId="0" borderId="0" xfId="0" applyFont="1" applyAlignment="1">
      <alignment vertical="center" textRotation="90" wrapText="1"/>
    </xf>
    <xf numFmtId="0" fontId="5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81" fontId="0" fillId="0" borderId="0" xfId="0" applyNumberFormat="1" applyAlignment="1">
      <alignment horizontal="center"/>
    </xf>
    <xf numFmtId="167" fontId="2" fillId="0" borderId="0" xfId="0" applyNumberFormat="1" applyFont="1" applyAlignment="1">
      <alignment horizontal="center" wrapText="1"/>
    </xf>
    <xf numFmtId="180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0" fontId="11" fillId="0" borderId="0" xfId="2"/>
    <xf numFmtId="184" fontId="0" fillId="0" borderId="3" xfId="0" applyNumberFormat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vertical="center"/>
    </xf>
    <xf numFmtId="0" fontId="0" fillId="0" borderId="6" xfId="0" applyBorder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 textRotation="90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textRotation="90"/>
    </xf>
  </cellXfs>
  <cellStyles count="3">
    <cellStyle name="Hyperlink" xfId="2" builtinId="8"/>
    <cellStyle name="Normal" xfId="0" builtinId="0"/>
    <cellStyle name="Per cent" xfId="1" builtinId="5"/>
  </cellStyles>
  <dxfs count="7">
    <dxf>
      <numFmt numFmtId="166" formatCode="0.0\ &quot;m&quot;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3</xdr:row>
      <xdr:rowOff>0</xdr:rowOff>
    </xdr:from>
    <xdr:to>
      <xdr:col>7</xdr:col>
      <xdr:colOff>2267950</xdr:colOff>
      <xdr:row>5</xdr:row>
      <xdr:rowOff>171700</xdr:rowOff>
    </xdr:to>
    <xdr:sp macro="[0]!getHistoric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5300" y="520700"/>
          <a:ext cx="2160000" cy="540000"/>
        </a:xfrm>
        <a:prstGeom prst="roundRect">
          <a:avLst>
            <a:gd name="adj" fmla="val 7157"/>
          </a:avLst>
        </a:prstGeom>
        <a:solidFill>
          <a:schemeClr val="tx2">
            <a:lumMod val="20000"/>
            <a:lumOff val="80000"/>
          </a:schemeClr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i="1">
              <a:solidFill>
                <a:schemeClr val="tx1">
                  <a:lumMod val="85000"/>
                  <a:lumOff val="15000"/>
                </a:schemeClr>
              </a:solidFill>
            </a:rPr>
            <a:t>Ultimi dati storici disponibili (ritardo di 5 giorni)</a:t>
          </a:r>
          <a:endParaRPr lang="en-GB" sz="1100" i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7</xdr:col>
      <xdr:colOff>107950</xdr:colOff>
      <xdr:row>7</xdr:row>
      <xdr:rowOff>12700</xdr:rowOff>
    </xdr:from>
    <xdr:to>
      <xdr:col>7</xdr:col>
      <xdr:colOff>2267950</xdr:colOff>
      <xdr:row>10</xdr:row>
      <xdr:rowOff>44700</xdr:rowOff>
    </xdr:to>
    <xdr:sp macro="[0]!getForecas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0CAD799-B77B-4E34-8B06-B20955B7275B}"/>
            </a:ext>
          </a:extLst>
        </xdr:cNvPr>
        <xdr:cNvSpPr/>
      </xdr:nvSpPr>
      <xdr:spPr>
        <a:xfrm>
          <a:off x="5372100" y="1130300"/>
          <a:ext cx="2160000" cy="597150"/>
        </a:xfrm>
        <a:prstGeom prst="roundRect">
          <a:avLst>
            <a:gd name="adj" fmla="val 8333"/>
          </a:avLst>
        </a:prstGeom>
        <a:solidFill>
          <a:schemeClr val="tx2">
            <a:lumMod val="20000"/>
            <a:lumOff val="80000"/>
          </a:schemeClr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i="1">
              <a:solidFill>
                <a:schemeClr val="tx1">
                  <a:lumMod val="85000"/>
                  <a:lumOff val="15000"/>
                </a:schemeClr>
              </a:solidFill>
            </a:rPr>
            <a:t>Previsioni</a:t>
          </a:r>
          <a:r>
            <a:rPr lang="en-GB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dei prossimi 7 giorni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273050</xdr:colOff>
      <xdr:row>16</xdr:row>
      <xdr:rowOff>82550</xdr:rowOff>
    </xdr:from>
    <xdr:to>
      <xdr:col>15</xdr:col>
      <xdr:colOff>292100</xdr:colOff>
      <xdr:row>30</xdr:row>
      <xdr:rowOff>107950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3028950"/>
          <a:ext cx="4286250" cy="260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F49298-1DAB-43AF-9174-57871D018CB6}" name="Tabella_EfficienzaMetodoIrriguo" displayName="Tabella_EfficienzaMetodoIrriguo" ref="A1:B6" totalsRowShown="0">
  <autoFilter ref="A1:B6" xr:uid="{1AF49298-1DAB-43AF-9174-57871D018CB6}"/>
  <tableColumns count="2">
    <tableColumn id="1" xr3:uid="{37A1CE29-38A9-40D1-9A40-88B5506BB04C}" name="Metodo irriguo"/>
    <tableColumn id="2" xr3:uid="{D9C79122-A9B1-44A6-8737-89B99A440C2A}" name="Efficienza" dataDxfId="6" dataCellStyle="Per 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59B54F-89C1-4EA7-B628-C765E5039535}" name="Tabella_CoefficienteColturale" displayName="Tabella_CoefficienteColturale" ref="A10:G37" totalsRowShown="0">
  <autoFilter ref="A10:G37" xr:uid="{EC59B54F-89C1-4EA7-B628-C765E5039535}"/>
  <sortState xmlns:xlrd2="http://schemas.microsoft.com/office/spreadsheetml/2017/richdata2" ref="A11:G37">
    <sortCondition ref="A10:A37"/>
  </sortState>
  <tableColumns count="7">
    <tableColumn id="1" xr3:uid="{D9704DB5-98EB-4E8E-B572-705257708DDB}" name="Coltura"/>
    <tableColumn id="11" xr3:uid="{8280303A-C61D-45A0-AEAB-98B68E081ADA}" name="Kc ini" dataDxfId="5"/>
    <tableColumn id="10" xr3:uid="{B9F974AE-D5D0-4C7E-9009-1CF95AFEF514}" name="Kc dev" dataDxfId="4"/>
    <tableColumn id="12" xr3:uid="{709DBA40-8257-4D2B-B3D8-0E1D2518A11B}" name="Kc mid" dataDxfId="3"/>
    <tableColumn id="13" xr3:uid="{674E7B8B-7B16-49F2-A291-C10DB0DD754A}" name="Kc end" dataDxfId="2"/>
    <tableColumn id="8" xr3:uid="{6B81FA1B-445F-4414-B810-6E212D957074}" name="Kc med" dataDxfId="1">
      <calculatedColumnFormula>AVERAGE(Tabella_CoefficienteColturale[[#This Row],[Kc ini]:[Kc end]])</calculatedColumnFormula>
    </tableColumn>
    <tableColumn id="9" xr3:uid="{89309E51-7BBC-4301-B957-CB3680430F56}" name="h max 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A338A0-350C-49E1-9AC2-E4094D415F70}" name="Tabella_MetodiET" displayName="Tabella_MetodiET" ref="A1:A3" totalsRowShown="0">
  <autoFilter ref="A1:A3" xr:uid="{1FA338A0-350C-49E1-9AC2-E4094D415F70}"/>
  <tableColumns count="1">
    <tableColumn id="1" xr3:uid="{CBAB315D-375A-4079-9308-B59ED65E0EFD}" name="Formule evapotraspirazion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F4FF45-83FE-4F4B-A3F5-4A6D729A5083}" name="Tabella_StadiColturali" displayName="Tabella_StadiColturali" ref="A5:A10" totalsRowShown="0">
  <autoFilter ref="A5:A10" xr:uid="{FCF4FF45-83FE-4F4B-A3F5-4A6D729A5083}"/>
  <tableColumns count="1">
    <tableColumn id="1" xr3:uid="{AC05A74D-C6BD-4F77-BF9A-7DA0866DE2B0}" name="Stadio coltura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4E9979-71F0-4B3F-A467-A64D59315384}" name="Tabella_StatoAppezzamento" displayName="Tabella_StatoAppezzamento" ref="A12:A14" totalsRowShown="0">
  <autoFilter ref="A12:A14" xr:uid="{734E9979-71F0-4B3F-A467-A64D59315384}"/>
  <tableColumns count="1">
    <tableColumn id="1" xr3:uid="{04A87095-E7B2-4719-A792-185746EDD7E2}" name="Stato appezza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o.org/3/X0490E/x0490e0b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1C66-382A-4106-A866-5453C82899FD}">
  <sheetPr codeName="Sheet2"/>
  <dimension ref="B2:V46"/>
  <sheetViews>
    <sheetView showGridLines="0" workbookViewId="0">
      <selection activeCell="H20" sqref="H20"/>
    </sheetView>
  </sheetViews>
  <sheetFormatPr defaultRowHeight="14.5" x14ac:dyDescent="0.35"/>
  <cols>
    <col min="1" max="1" width="3.7265625" customWidth="1"/>
    <col min="2" max="2" width="5.36328125" customWidth="1"/>
    <col min="3" max="3" width="27.7265625" customWidth="1"/>
    <col min="4" max="4" width="13" customWidth="1"/>
    <col min="5" max="5" width="1.36328125" customWidth="1"/>
    <col min="6" max="6" width="12.90625" customWidth="1"/>
    <col min="7" max="7" width="2.90625" customWidth="1"/>
    <col min="8" max="8" width="33.7265625" customWidth="1"/>
    <col min="9" max="9" width="26.54296875" customWidth="1"/>
    <col min="10" max="10" width="5.1796875" customWidth="1"/>
    <col min="11" max="11" width="9.36328125" customWidth="1"/>
    <col min="12" max="12" width="0.81640625" customWidth="1"/>
    <col min="13" max="13" width="0.6328125" customWidth="1"/>
    <col min="15" max="15" width="10.453125" bestFit="1" customWidth="1"/>
    <col min="21" max="21" width="2" customWidth="1"/>
    <col min="22" max="22" width="15.54296875" customWidth="1"/>
    <col min="23" max="23" width="3.81640625" customWidth="1"/>
  </cols>
  <sheetData>
    <row r="2" spans="2:22" ht="19" thickBot="1" x14ac:dyDescent="0.5">
      <c r="B2" s="98" t="s">
        <v>60</v>
      </c>
      <c r="C2" s="98"/>
      <c r="D2" s="98"/>
      <c r="E2" s="98"/>
      <c r="F2" s="98"/>
      <c r="H2" s="84" t="s">
        <v>125</v>
      </c>
      <c r="I2" s="97" t="s">
        <v>130</v>
      </c>
    </row>
    <row r="3" spans="2:22" ht="3.5" customHeight="1" thickTop="1" x14ac:dyDescent="0.45">
      <c r="C3" s="7"/>
      <c r="D3" s="7"/>
      <c r="E3" s="7"/>
    </row>
    <row r="4" spans="2:22" x14ac:dyDescent="0.35">
      <c r="C4" t="s">
        <v>58</v>
      </c>
      <c r="D4" s="34" t="s">
        <v>66</v>
      </c>
      <c r="I4" s="50"/>
      <c r="J4" s="50"/>
      <c r="K4" s="50"/>
      <c r="L4" s="50"/>
      <c r="M4" s="50"/>
      <c r="N4" s="83"/>
      <c r="O4" s="83"/>
      <c r="P4" s="83"/>
      <c r="Q4" s="83"/>
      <c r="R4" s="83"/>
      <c r="S4" s="83"/>
      <c r="T4" s="83"/>
    </row>
    <row r="5" spans="2:22" x14ac:dyDescent="0.35">
      <c r="C5" t="s">
        <v>0</v>
      </c>
      <c r="D5" s="34" t="s">
        <v>6</v>
      </c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</row>
    <row r="6" spans="2:22" ht="14.5" customHeight="1" x14ac:dyDescent="0.35">
      <c r="C6" t="s">
        <v>49</v>
      </c>
      <c r="D6" s="2">
        <f>_xlfn.XLOOKUP(D5,Tabella_EfficienzaMetodoIrriguo[Metodo irriguo],Tabella_EfficienzaMetodoIrriguo[Efficienza])</f>
        <v>0.9</v>
      </c>
      <c r="I6" s="2"/>
      <c r="J6" s="2"/>
      <c r="K6" s="2"/>
      <c r="L6" s="2"/>
      <c r="M6" s="2"/>
    </row>
    <row r="7" spans="2:22" ht="5.5" customHeight="1" x14ac:dyDescent="0.35">
      <c r="D7" s="2"/>
      <c r="I7" s="2"/>
      <c r="J7" s="2"/>
      <c r="K7" s="2"/>
      <c r="L7" s="2"/>
      <c r="M7" s="2"/>
    </row>
    <row r="8" spans="2:22" ht="13.5" customHeight="1" x14ac:dyDescent="0.35">
      <c r="C8" t="s">
        <v>26</v>
      </c>
      <c r="D8" s="34" t="s">
        <v>36</v>
      </c>
      <c r="G8" s="82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2:22" x14ac:dyDescent="0.35">
      <c r="C9" t="s">
        <v>59</v>
      </c>
      <c r="D9" s="34" t="s">
        <v>100</v>
      </c>
      <c r="G9" s="8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2:22" ht="16.5" x14ac:dyDescent="0.45">
      <c r="C10" t="s">
        <v>101</v>
      </c>
      <c r="D10" s="24" cm="1">
        <f t="array" ref="D10">_xlfn.SWITCH(Param_StadioColturale,
"Iniziale", _xlfn.XLOOKUP(Param_Coltura,Tabella_CoefficienteColturale[Coltura],Tabella_CoefficienteColturale[Kc ini]),
"Sviluppo", _xlfn.XLOOKUP(Param_Coltura,Tabella_CoefficienteColturale[Coltura],Tabella_CoefficienteColturale[Kc dev]),
"Centrale", _xlfn.XLOOKUP(Param_Coltura,Tabella_CoefficienteColturale[Coltura],Tabella_CoefficienteColturale[Kc mid]),
"Finale", _xlfn.XLOOKUP(Param_Coltura,Tabella_CoefficienteColturale[Coltura],Tabella_CoefficienteColturale[Kc end]),
"Media", _xlfn.XLOOKUP(Param_Coltura,Tabella_CoefficienteColturale[Coltura],Tabella_CoefficienteColturale[Kc med]),
)</f>
        <v>0.8833333333333333</v>
      </c>
      <c r="G10" s="82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2" ht="4.5" customHeight="1" x14ac:dyDescent="0.35">
      <c r="D11" s="24"/>
      <c r="G11" s="82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2:22" x14ac:dyDescent="0.35">
      <c r="C12" t="s">
        <v>61</v>
      </c>
      <c r="D12" s="35">
        <v>25</v>
      </c>
      <c r="G12" s="82"/>
      <c r="I12" s="2"/>
      <c r="J12" s="55"/>
      <c r="K12" s="52"/>
      <c r="L12" s="2"/>
      <c r="M12" s="55"/>
      <c r="N12" s="52"/>
      <c r="O12" s="52"/>
      <c r="P12" s="52"/>
      <c r="Q12" s="52"/>
      <c r="R12" s="52"/>
      <c r="S12" s="52"/>
      <c r="T12" s="52"/>
      <c r="U12" s="33"/>
      <c r="V12" s="33"/>
    </row>
    <row r="13" spans="2:22" x14ac:dyDescent="0.35">
      <c r="C13" t="s">
        <v>84</v>
      </c>
      <c r="D13" s="34" t="s">
        <v>87</v>
      </c>
      <c r="G13" s="82"/>
      <c r="I13" s="53"/>
      <c r="J13" s="53"/>
      <c r="K13" s="53"/>
      <c r="L13" s="53"/>
      <c r="M13" s="53"/>
    </row>
    <row r="14" spans="2:22" x14ac:dyDescent="0.35">
      <c r="C14" t="s">
        <v>70</v>
      </c>
      <c r="D14" s="36">
        <v>45.7</v>
      </c>
      <c r="G14" s="18"/>
      <c r="I14" s="54"/>
      <c r="K14" s="54"/>
      <c r="N14" s="54"/>
      <c r="O14" s="54"/>
      <c r="P14" s="54"/>
      <c r="Q14" s="54"/>
      <c r="R14" s="54"/>
      <c r="S14" s="54"/>
      <c r="T14" s="54"/>
      <c r="V14" s="37"/>
    </row>
    <row r="15" spans="2:22" x14ac:dyDescent="0.35">
      <c r="C15" t="s">
        <v>111</v>
      </c>
      <c r="D15" s="36">
        <v>9.67</v>
      </c>
      <c r="G15" s="18"/>
      <c r="I15" s="54"/>
      <c r="K15" s="54"/>
      <c r="N15" s="54"/>
      <c r="O15" s="54"/>
      <c r="P15" s="54"/>
      <c r="Q15" s="54"/>
      <c r="R15" s="54"/>
      <c r="S15" s="54"/>
      <c r="T15" s="54"/>
      <c r="V15" s="37"/>
    </row>
    <row r="16" spans="2:22" ht="7.5" customHeight="1" x14ac:dyDescent="0.35">
      <c r="D16" s="87"/>
      <c r="G16" s="18"/>
      <c r="I16" s="54"/>
      <c r="K16" s="54"/>
      <c r="N16" s="54"/>
      <c r="O16" s="54"/>
      <c r="P16" s="54"/>
      <c r="Q16" s="54"/>
      <c r="R16" s="54"/>
      <c r="S16" s="54"/>
      <c r="T16" s="54"/>
      <c r="V16" s="37"/>
    </row>
    <row r="17" spans="2:22" x14ac:dyDescent="0.35">
      <c r="C17" t="s">
        <v>126</v>
      </c>
      <c r="D17" s="89">
        <f ca="1">IF(D4="FAO",
IF(D13="Aperto",Param_ET0_fao_settimanale*Param_Kc,Param_ET0_fao_settimanale),
IF(D13="Aperto",Param_ET0_Hargreaves_settimanale*Param_Kc,Param_ET0_Hargreaves_settimanale))</f>
        <v>7.3117505641120184</v>
      </c>
      <c r="G17" s="18"/>
      <c r="I17" s="54"/>
      <c r="K17" s="54"/>
      <c r="N17" s="54"/>
      <c r="O17" s="54"/>
      <c r="P17" s="54"/>
      <c r="Q17" s="54"/>
      <c r="R17" s="54"/>
      <c r="S17" s="54"/>
      <c r="T17" s="54"/>
      <c r="V17" s="37"/>
    </row>
    <row r="18" spans="2:22" x14ac:dyDescent="0.35">
      <c r="C18" t="s">
        <v>128</v>
      </c>
      <c r="D18" s="90">
        <v>0.85</v>
      </c>
      <c r="G18" s="18"/>
      <c r="I18" s="54"/>
      <c r="K18" s="54"/>
      <c r="N18" s="54"/>
      <c r="O18" s="54"/>
      <c r="P18" s="54"/>
      <c r="Q18" s="54"/>
      <c r="R18" s="54"/>
      <c r="S18" s="54"/>
      <c r="T18" s="54"/>
      <c r="V18" s="37"/>
    </row>
    <row r="19" spans="2:22" x14ac:dyDescent="0.35">
      <c r="C19" t="s">
        <v>127</v>
      </c>
      <c r="D19" s="89">
        <f>Param_PioggiaNetta_sett</f>
        <v>9.0950000000000006</v>
      </c>
      <c r="G19" s="18"/>
    </row>
    <row r="20" spans="2:22" ht="10" customHeight="1" thickBot="1" x14ac:dyDescent="0.4">
      <c r="B20" s="93"/>
      <c r="C20" s="93"/>
      <c r="D20" s="95"/>
      <c r="E20" s="93"/>
      <c r="F20" s="93"/>
      <c r="G20" s="18"/>
    </row>
    <row r="21" spans="2:22" x14ac:dyDescent="0.35">
      <c r="D21" s="86" t="s">
        <v>103</v>
      </c>
      <c r="E21" s="85"/>
      <c r="F21" s="86" t="s">
        <v>102</v>
      </c>
    </row>
    <row r="22" spans="2:22" ht="14.5" customHeight="1" x14ac:dyDescent="0.35">
      <c r="B22" s="101" t="s">
        <v>62</v>
      </c>
      <c r="C22" s="101"/>
      <c r="D22" s="88">
        <f ca="1">IF(Param_PioggiaNetta_sett&gt;Param_ETr,
0,
(Param_ETr-Param_PioggiaNetta_sett)/Param_EffIrr)</f>
        <v>0</v>
      </c>
      <c r="F22" s="58">
        <f ca="1">D22/7</f>
        <v>0</v>
      </c>
      <c r="G22" s="26"/>
      <c r="H22" s="26"/>
      <c r="I22" s="26"/>
      <c r="J22" s="26"/>
      <c r="K22" s="26"/>
      <c r="L22" s="26"/>
      <c r="M22" s="26"/>
      <c r="N22" s="26"/>
    </row>
    <row r="23" spans="2:22" x14ac:dyDescent="0.35">
      <c r="C23" s="9"/>
      <c r="D23" s="19">
        <f ca="1">D22</f>
        <v>0</v>
      </c>
      <c r="F23" s="59">
        <f ca="1">F22</f>
        <v>0</v>
      </c>
      <c r="G23" s="27"/>
      <c r="H23" s="27"/>
      <c r="I23" s="27"/>
      <c r="J23" s="27"/>
      <c r="K23" s="27"/>
      <c r="L23" s="27"/>
      <c r="M23" s="27"/>
      <c r="N23" s="27"/>
    </row>
    <row r="24" spans="2:22" x14ac:dyDescent="0.35">
      <c r="C24" s="9"/>
      <c r="D24" s="20">
        <f ca="1">D22*10</f>
        <v>0</v>
      </c>
      <c r="E24" t="s">
        <v>105</v>
      </c>
      <c r="F24" s="60">
        <f ca="1">F23*10</f>
        <v>0</v>
      </c>
      <c r="G24" s="28"/>
      <c r="H24" s="28"/>
      <c r="I24" s="28"/>
      <c r="J24" s="28"/>
      <c r="K24" s="28"/>
      <c r="L24" s="28"/>
      <c r="M24" s="28"/>
      <c r="N24" s="28"/>
      <c r="O24" s="32"/>
    </row>
    <row r="25" spans="2:22" x14ac:dyDescent="0.35">
      <c r="B25" s="101" t="s">
        <v>63</v>
      </c>
      <c r="C25" s="101"/>
      <c r="D25" s="31">
        <f ca="1">D24*D12/10000</f>
        <v>0</v>
      </c>
      <c r="F25" s="61">
        <f ca="1">F24*D12/10000</f>
        <v>0</v>
      </c>
      <c r="G25" s="57"/>
      <c r="H25" s="57"/>
      <c r="I25" s="29"/>
      <c r="J25" s="29"/>
      <c r="K25" s="29"/>
      <c r="L25" s="29"/>
      <c r="M25" s="29"/>
      <c r="N25" s="29"/>
    </row>
    <row r="26" spans="2:22" x14ac:dyDescent="0.35">
      <c r="D26" s="30">
        <f ca="1">D25*1000</f>
        <v>0</v>
      </c>
      <c r="F26" s="62">
        <f ca="1">F25*1000</f>
        <v>0</v>
      </c>
      <c r="G26" s="56"/>
      <c r="H26" s="56"/>
      <c r="N26" s="25"/>
    </row>
    <row r="27" spans="2:22" x14ac:dyDescent="0.35">
      <c r="O27" s="33"/>
    </row>
    <row r="28" spans="2:22" ht="14.5" customHeight="1" thickBot="1" x14ac:dyDescent="0.5">
      <c r="B28" s="98" t="s">
        <v>104</v>
      </c>
      <c r="C28" s="98"/>
      <c r="D28" s="98"/>
      <c r="E28" s="98"/>
      <c r="F28" s="98"/>
    </row>
    <row r="29" spans="2:22" ht="5" customHeight="1" thickTop="1" x14ac:dyDescent="0.45">
      <c r="B29" s="7"/>
      <c r="C29" s="7"/>
      <c r="D29" s="7"/>
      <c r="E29" s="7"/>
      <c r="F29" s="7"/>
    </row>
    <row r="30" spans="2:22" x14ac:dyDescent="0.35">
      <c r="C30" t="s">
        <v>106</v>
      </c>
      <c r="D30" s="40">
        <v>15</v>
      </c>
    </row>
    <row r="31" spans="2:22" ht="15" customHeight="1" x14ac:dyDescent="0.35">
      <c r="C31" t="s">
        <v>109</v>
      </c>
      <c r="D31" s="38">
        <v>1.5</v>
      </c>
    </row>
    <row r="32" spans="2:22" ht="4" customHeight="1" thickBot="1" x14ac:dyDescent="0.4">
      <c r="B32" s="93"/>
      <c r="C32" s="93"/>
      <c r="D32" s="94"/>
      <c r="E32" s="93"/>
      <c r="F32" s="93"/>
    </row>
    <row r="33" spans="3:15" x14ac:dyDescent="0.35">
      <c r="C33" t="s">
        <v>107</v>
      </c>
      <c r="D33" s="96">
        <f ca="1">(D22/$D$30)/24</f>
        <v>0</v>
      </c>
      <c r="E33" s="15"/>
      <c r="F33" s="96">
        <f ca="1">(F22/$D$30)/24</f>
        <v>0</v>
      </c>
    </row>
    <row r="34" spans="3:15" x14ac:dyDescent="0.35">
      <c r="C34" t="s">
        <v>108</v>
      </c>
      <c r="D34" s="39">
        <f ca="1">D25*$D$31</f>
        <v>0</v>
      </c>
      <c r="F34" s="39">
        <f ca="1">F25*$D$31</f>
        <v>0</v>
      </c>
    </row>
    <row r="41" spans="3:15" x14ac:dyDescent="0.35">
      <c r="E41" s="99"/>
      <c r="F41" s="100"/>
      <c r="G41" s="100"/>
      <c r="H41" s="100"/>
      <c r="I41" s="100"/>
      <c r="J41" s="100"/>
      <c r="K41" s="100"/>
      <c r="L41" s="100"/>
      <c r="M41" s="100"/>
      <c r="N41" s="100"/>
      <c r="O41" s="100"/>
    </row>
    <row r="42" spans="3:15" x14ac:dyDescent="0.35"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</row>
    <row r="43" spans="3:15" x14ac:dyDescent="0.35"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</row>
    <row r="44" spans="3:15" x14ac:dyDescent="0.35"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</row>
    <row r="45" spans="3:15" x14ac:dyDescent="0.35"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</row>
    <row r="46" spans="3:15" x14ac:dyDescent="0.35"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</row>
  </sheetData>
  <mergeCells count="5">
    <mergeCell ref="B2:F2"/>
    <mergeCell ref="B28:F28"/>
    <mergeCell ref="E41:O46"/>
    <mergeCell ref="B22:C22"/>
    <mergeCell ref="B25:C25"/>
  </mergeCells>
  <dataValidations disablePrompts="1" count="7">
    <dataValidation type="list" allowBlank="1" showInputMessage="1" showErrorMessage="1" sqref="D4" xr:uid="{2C5E169C-3711-4303-9E34-3E1AA68934E4}">
      <formula1>DV_FormuleET</formula1>
    </dataValidation>
    <dataValidation type="list" allowBlank="1" showInputMessage="1" showErrorMessage="1" sqref="D5" xr:uid="{A70D0D1E-0268-4813-B48A-451D0284AF7F}">
      <formula1>DV_MetodoIrriguo</formula1>
    </dataValidation>
    <dataValidation type="list" allowBlank="1" showInputMessage="1" showErrorMessage="1" sqref="D8" xr:uid="{9CA6B143-6E33-4218-824A-A818842F8EAA}">
      <formula1>DV_Coltura</formula1>
    </dataValidation>
    <dataValidation type="list" allowBlank="1" showInputMessage="1" showErrorMessage="1" sqref="D9" xr:uid="{E2FE04E1-87D4-4824-823C-D5817A1DCE62}">
      <formula1>DV_StadioColturale</formula1>
    </dataValidation>
    <dataValidation type="decimal" allowBlank="1" showInputMessage="1" showErrorMessage="1" sqref="I12:J12 L12:M12" xr:uid="{E3143EAB-8ADE-4CE7-BE20-2354FD71A306}">
      <formula1>0</formula1>
      <formula2>365</formula2>
    </dataValidation>
    <dataValidation type="list" allowBlank="1" showInputMessage="1" showErrorMessage="1" sqref="D13" xr:uid="{98AD68E1-AD02-48E9-8C06-F52D38D0D551}">
      <formula1>DV_StatoAppezzamento</formula1>
    </dataValidation>
    <dataValidation type="decimal" allowBlank="1" showInputMessage="1" showErrorMessage="1" sqref="J13:M14 I13" xr:uid="{73D2038D-8207-4FD1-9EDE-C08BA2119A10}">
      <formula1>0</formula1>
      <formula2>90</formula2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F7BB8-F3A6-4FE7-8313-0EDE2DD25E02}">
  <dimension ref="A2:N20"/>
  <sheetViews>
    <sheetView showGridLines="0" workbookViewId="0">
      <selection activeCell="F5" sqref="F5"/>
    </sheetView>
  </sheetViews>
  <sheetFormatPr defaultRowHeight="14.5" x14ac:dyDescent="0.35"/>
  <cols>
    <col min="2" max="2" width="31.7265625" customWidth="1"/>
    <col min="3" max="9" width="10.7265625" customWidth="1"/>
    <col min="10" max="11" width="1.26953125" customWidth="1"/>
    <col min="12" max="12" width="17.90625" customWidth="1"/>
    <col min="13" max="13" width="3" customWidth="1"/>
    <col min="14" max="14" width="34" customWidth="1"/>
  </cols>
  <sheetData>
    <row r="2" spans="1:13" ht="22" customHeight="1" x14ac:dyDescent="0.35">
      <c r="B2" s="103" t="s">
        <v>64</v>
      </c>
      <c r="C2" s="103"/>
      <c r="D2" s="103"/>
      <c r="E2" s="103"/>
      <c r="F2" s="103"/>
      <c r="G2" s="103"/>
      <c r="H2" s="103"/>
      <c r="I2" s="103"/>
      <c r="J2" s="41"/>
      <c r="K2" s="41"/>
      <c r="L2" s="64" t="s">
        <v>124</v>
      </c>
    </row>
    <row r="3" spans="1:13" ht="3.5" customHeight="1" x14ac:dyDescent="0.3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2"/>
    </row>
    <row r="4" spans="1:13" x14ac:dyDescent="0.35">
      <c r="B4" t="s">
        <v>115</v>
      </c>
      <c r="C4" s="43">
        <v>0.1</v>
      </c>
      <c r="D4" s="43">
        <v>8.1</v>
      </c>
      <c r="E4" s="43">
        <v>1.8</v>
      </c>
      <c r="F4" s="43">
        <v>0.1</v>
      </c>
      <c r="G4" s="43">
        <v>0</v>
      </c>
      <c r="H4" s="43">
        <v>0.6</v>
      </c>
      <c r="I4" s="43">
        <v>0</v>
      </c>
      <c r="J4" s="65"/>
      <c r="K4" s="66"/>
      <c r="L4" s="43"/>
      <c r="M4" s="43"/>
    </row>
    <row r="5" spans="1:13" x14ac:dyDescent="0.35">
      <c r="B5" t="s">
        <v>50</v>
      </c>
      <c r="C5" s="43">
        <f t="shared" ref="C5:I5" si="0">IF(Param_StatoAppezzamento = "Aperto",
C4*Param_CoeffPioggiaNetta,
0)</f>
        <v>8.5000000000000006E-2</v>
      </c>
      <c r="D5" s="43">
        <f t="shared" si="0"/>
        <v>6.8849999999999998</v>
      </c>
      <c r="E5" s="43">
        <f t="shared" si="0"/>
        <v>1.53</v>
      </c>
      <c r="F5" s="43">
        <f t="shared" si="0"/>
        <v>8.5000000000000006E-2</v>
      </c>
      <c r="G5" s="43">
        <f t="shared" si="0"/>
        <v>0</v>
      </c>
      <c r="H5" s="43">
        <f t="shared" si="0"/>
        <v>0.51</v>
      </c>
      <c r="I5" s="43">
        <f t="shared" si="0"/>
        <v>0</v>
      </c>
      <c r="J5" s="65"/>
      <c r="K5" s="66"/>
      <c r="L5" s="81">
        <f>SUM(Data_PioggiaNetta)</f>
        <v>9.0950000000000006</v>
      </c>
      <c r="M5" s="43"/>
    </row>
    <row r="6" spans="1:13" x14ac:dyDescent="0.35">
      <c r="C6" s="5"/>
      <c r="D6" s="5"/>
      <c r="E6" s="5"/>
      <c r="F6" s="5"/>
      <c r="G6" s="5"/>
      <c r="H6" s="5"/>
      <c r="I6" s="5"/>
      <c r="J6" s="67"/>
      <c r="K6" s="68"/>
      <c r="L6" s="5"/>
      <c r="M6" s="5"/>
    </row>
    <row r="7" spans="1:13" x14ac:dyDescent="0.35">
      <c r="A7" s="102" t="s">
        <v>68</v>
      </c>
      <c r="B7" t="s">
        <v>23</v>
      </c>
      <c r="C7" s="44">
        <v>14.8</v>
      </c>
      <c r="D7" s="44">
        <v>7.3</v>
      </c>
      <c r="E7" s="44">
        <v>5.8</v>
      </c>
      <c r="F7" s="44">
        <v>7.5</v>
      </c>
      <c r="G7" s="44">
        <v>11.3</v>
      </c>
      <c r="H7" s="44">
        <v>9.8000000000000007</v>
      </c>
      <c r="I7" s="44">
        <v>10.7</v>
      </c>
      <c r="J7" s="69"/>
      <c r="K7" s="70"/>
      <c r="L7" s="44"/>
      <c r="M7" s="44"/>
    </row>
    <row r="8" spans="1:13" x14ac:dyDescent="0.35">
      <c r="A8" s="102"/>
      <c r="B8" t="s">
        <v>67</v>
      </c>
      <c r="C8" s="44">
        <v>10.450000000000001</v>
      </c>
      <c r="D8" s="44">
        <v>4.2416666666666671</v>
      </c>
      <c r="E8" s="44">
        <v>3.1791666666666671</v>
      </c>
      <c r="F8" s="44">
        <v>4.1375000000000002</v>
      </c>
      <c r="G8" s="44">
        <v>6.1041666666666652</v>
      </c>
      <c r="H8" s="44">
        <v>7.0291666666666659</v>
      </c>
      <c r="I8" s="44">
        <v>6.9041666666666677</v>
      </c>
      <c r="J8" s="69"/>
      <c r="K8" s="70"/>
      <c r="L8" s="44"/>
      <c r="M8" s="44"/>
    </row>
    <row r="9" spans="1:13" x14ac:dyDescent="0.35">
      <c r="A9" s="102"/>
      <c r="B9" t="s">
        <v>22</v>
      </c>
      <c r="C9" s="44">
        <v>6.9</v>
      </c>
      <c r="D9" s="44">
        <v>0.5</v>
      </c>
      <c r="E9" s="44">
        <v>0.5</v>
      </c>
      <c r="F9" s="44">
        <v>1.7</v>
      </c>
      <c r="G9" s="44">
        <v>1.3</v>
      </c>
      <c r="H9" s="44">
        <v>4.4000000000000004</v>
      </c>
      <c r="I9" s="44">
        <v>3</v>
      </c>
      <c r="J9" s="69"/>
      <c r="K9" s="70"/>
      <c r="L9" s="44"/>
      <c r="M9" s="44"/>
    </row>
    <row r="10" spans="1:13" x14ac:dyDescent="0.35">
      <c r="A10" s="102"/>
      <c r="B10" t="s">
        <v>116</v>
      </c>
      <c r="C10" s="44">
        <f>C7-C9</f>
        <v>7.9</v>
      </c>
      <c r="D10" s="44">
        <f t="shared" ref="D10:I10" si="1">D7-D9</f>
        <v>6.8</v>
      </c>
      <c r="E10" s="44">
        <f t="shared" si="1"/>
        <v>5.3</v>
      </c>
      <c r="F10" s="44">
        <f t="shared" si="1"/>
        <v>5.8</v>
      </c>
      <c r="G10" s="44">
        <f t="shared" si="1"/>
        <v>10</v>
      </c>
      <c r="H10" s="44">
        <f t="shared" si="1"/>
        <v>5.4</v>
      </c>
      <c r="I10" s="44">
        <f t="shared" si="1"/>
        <v>7.6999999999999993</v>
      </c>
      <c r="J10" s="69"/>
      <c r="K10" s="70"/>
      <c r="L10" s="44"/>
      <c r="M10" s="44"/>
    </row>
    <row r="11" spans="1:13" x14ac:dyDescent="0.35">
      <c r="A11" s="18"/>
      <c r="B11" t="s">
        <v>19</v>
      </c>
      <c r="C11" s="42">
        <f t="shared" ref="C11:I11" ca="1" si="2">(24*60)/PI()
*CostanteSolare*(1+0.033*COS(2*PI()*_xlfn.DAYS(C17,DATE(YEAR(TODAY()),1,1))/365))
*(ACOS(-TAN(Param_LatitudineDeg*PI()/180)*TAN(0.409*SIN(2*PI()*_xlfn.DAYS(C17,DATE(YEAR(TODAY()),1,1))/365-1.39)))
*SIN(Param_LatitudineDeg*PI()/180)
*SIN(0.409*SIN(2*PI()*_xlfn.DAYS(C17,DATE(YEAR(TODAY()),1,1))/365-1.39))
+COS(Param_LatitudineDeg*PI()/180)
*COS(0.409*SIN(2*PI()*_xlfn.DAYS(C17,DATE(YEAR(TODAY()),1,1))/365-1.39))
*SIN(ACOS(-TAN(Param_LatitudineDeg*PI()/180)*TAN(0.409*SIN(2*PI()*_xlfn.DAYS(C17,DATE(YEAR(TODAY()),1,1))/365-1.39)))))
*0.408</f>
        <v>7.8606520080277305</v>
      </c>
      <c r="D11" s="42">
        <f t="shared" ca="1" si="2"/>
        <v>7.9667241253536414</v>
      </c>
      <c r="E11" s="42">
        <f t="shared" ca="1" si="2"/>
        <v>8.0736842350992308</v>
      </c>
      <c r="F11" s="42">
        <f t="shared" ca="1" si="2"/>
        <v>8.1814945293293704</v>
      </c>
      <c r="G11" s="42">
        <f t="shared" ca="1" si="2"/>
        <v>8.2901166808972633</v>
      </c>
      <c r="H11" s="42">
        <f t="shared" ca="1" si="2"/>
        <v>8.3995118734338803</v>
      </c>
      <c r="I11" s="42">
        <f t="shared" ca="1" si="2"/>
        <v>8.5096408321063226</v>
      </c>
      <c r="J11" s="71"/>
      <c r="K11" s="72"/>
      <c r="L11" s="42"/>
      <c r="M11" s="42"/>
    </row>
    <row r="12" spans="1:13" x14ac:dyDescent="0.35">
      <c r="C12" s="5"/>
      <c r="D12" s="5"/>
      <c r="E12" s="5"/>
      <c r="F12" s="5"/>
      <c r="G12" s="5"/>
      <c r="H12" s="5"/>
      <c r="I12" s="5"/>
      <c r="J12" s="67"/>
      <c r="K12" s="68"/>
      <c r="L12" s="5"/>
      <c r="M12" s="5"/>
    </row>
    <row r="13" spans="1:13" x14ac:dyDescent="0.35">
      <c r="A13" s="102" t="s">
        <v>114</v>
      </c>
      <c r="B13" t="s">
        <v>9</v>
      </c>
      <c r="C13" s="45">
        <v>74.875</v>
      </c>
      <c r="D13" s="45">
        <v>77.458333333333329</v>
      </c>
      <c r="E13" s="45">
        <v>78.458333333333329</v>
      </c>
      <c r="F13" s="45">
        <v>76.291666666666671</v>
      </c>
      <c r="G13" s="45">
        <v>70.916666666666671</v>
      </c>
      <c r="H13" s="45">
        <v>78.375</v>
      </c>
      <c r="I13" s="45">
        <v>78.791666666666671</v>
      </c>
      <c r="J13" s="73"/>
      <c r="K13" s="74"/>
      <c r="L13" s="45"/>
      <c r="M13" s="45"/>
    </row>
    <row r="14" spans="1:13" x14ac:dyDescent="0.35">
      <c r="A14" s="102"/>
      <c r="B14" t="s">
        <v>10</v>
      </c>
      <c r="C14" s="5">
        <v>11.14</v>
      </c>
      <c r="D14" s="5">
        <v>11.25</v>
      </c>
      <c r="E14" s="5">
        <v>11.68</v>
      </c>
      <c r="F14" s="5">
        <v>11.88</v>
      </c>
      <c r="G14" s="5">
        <v>11.11</v>
      </c>
      <c r="H14" s="5">
        <v>11.47</v>
      </c>
      <c r="I14" s="5">
        <v>11.65</v>
      </c>
      <c r="J14" s="67"/>
      <c r="K14" s="68"/>
      <c r="L14" s="5"/>
      <c r="M14" s="5"/>
    </row>
    <row r="15" spans="1:13" x14ac:dyDescent="0.35">
      <c r="A15" s="102"/>
      <c r="B15" t="s">
        <v>11</v>
      </c>
      <c r="C15" s="46">
        <v>6.0166666666666657</v>
      </c>
      <c r="D15" s="46">
        <v>6.2333333333333352</v>
      </c>
      <c r="E15" s="46">
        <v>3.5208333333333335</v>
      </c>
      <c r="F15" s="46">
        <v>3.5999999999999996</v>
      </c>
      <c r="G15" s="46">
        <v>5.0333333333333323</v>
      </c>
      <c r="H15" s="46">
        <v>2.7833333333333332</v>
      </c>
      <c r="I15" s="46">
        <v>4.1374999999999993</v>
      </c>
      <c r="J15" s="75"/>
      <c r="K15" s="76"/>
      <c r="L15" s="46"/>
      <c r="M15" s="46"/>
    </row>
    <row r="16" spans="1:13" x14ac:dyDescent="0.35">
      <c r="C16" s="5"/>
      <c r="D16" s="5"/>
      <c r="E16" s="5"/>
      <c r="F16" s="5"/>
      <c r="G16" s="5"/>
      <c r="H16" s="5"/>
      <c r="I16" s="5"/>
      <c r="J16" s="67"/>
      <c r="K16" s="68"/>
      <c r="L16" s="5"/>
      <c r="M16" s="5"/>
    </row>
    <row r="17" spans="2:14" x14ac:dyDescent="0.35">
      <c r="B17" t="s">
        <v>21</v>
      </c>
      <c r="C17" s="47">
        <v>44982</v>
      </c>
      <c r="D17" s="47">
        <v>44983</v>
      </c>
      <c r="E17" s="47">
        <v>44984</v>
      </c>
      <c r="F17" s="47">
        <v>44985</v>
      </c>
      <c r="G17" s="47">
        <v>44986</v>
      </c>
      <c r="H17" s="47">
        <v>44987</v>
      </c>
      <c r="I17" s="47">
        <v>44988</v>
      </c>
      <c r="J17" s="77"/>
      <c r="K17" s="78"/>
      <c r="L17" s="47"/>
      <c r="M17" s="47"/>
    </row>
    <row r="18" spans="2:14" x14ac:dyDescent="0.35">
      <c r="J18" s="79"/>
      <c r="K18" s="80"/>
      <c r="M18" s="64"/>
    </row>
    <row r="19" spans="2:14" ht="16.5" x14ac:dyDescent="0.45">
      <c r="B19" t="s">
        <v>110</v>
      </c>
      <c r="C19" s="42">
        <v>1.78</v>
      </c>
      <c r="D19" s="42">
        <v>0.62</v>
      </c>
      <c r="E19" s="42">
        <v>0.83</v>
      </c>
      <c r="F19" s="42">
        <v>1.1499999999999999</v>
      </c>
      <c r="G19" s="42">
        <v>1.61</v>
      </c>
      <c r="H19" s="42">
        <v>0.87</v>
      </c>
      <c r="I19" s="42">
        <v>1.44</v>
      </c>
      <c r="J19" s="71"/>
      <c r="K19" s="72"/>
      <c r="L19" s="63">
        <f>SUM(Data_ET0_fao)</f>
        <v>8.3000000000000007</v>
      </c>
      <c r="M19" s="4"/>
      <c r="N19" s="48" t="s">
        <v>117</v>
      </c>
    </row>
    <row r="20" spans="2:14" ht="16.5" x14ac:dyDescent="0.45">
      <c r="B20" t="s">
        <v>113</v>
      </c>
      <c r="C20" s="42">
        <f t="shared" ref="C20:I20" ca="1" si="3">HC_Hargreaves*C11*(C8+17.8)*POWER(C10,0.5)</f>
        <v>1.4355502668920443</v>
      </c>
      <c r="D20" s="42">
        <f t="shared" ca="1" si="3"/>
        <v>1.0531894528289816</v>
      </c>
      <c r="E20" s="42">
        <f t="shared" ca="1" si="3"/>
        <v>0.89686229037319454</v>
      </c>
      <c r="F20" s="42">
        <f t="shared" ca="1" si="3"/>
        <v>0.99417219112349842</v>
      </c>
      <c r="G20" s="42">
        <f t="shared" ca="1" si="3"/>
        <v>1.4413255567070569</v>
      </c>
      <c r="H20" s="42">
        <f t="shared" ca="1" si="3"/>
        <v>1.1146561280380995</v>
      </c>
      <c r="I20" s="42">
        <f t="shared" ca="1" si="3"/>
        <v>1.3416975828431843</v>
      </c>
      <c r="J20" s="71"/>
      <c r="K20" s="72"/>
      <c r="L20" s="63">
        <f ca="1">SUM(Data_ET0_Hargreaves)</f>
        <v>8.2774534688060584</v>
      </c>
      <c r="M20" s="4"/>
      <c r="N20" s="48" t="s">
        <v>118</v>
      </c>
    </row>
  </sheetData>
  <mergeCells count="3">
    <mergeCell ref="A7:A10"/>
    <mergeCell ref="A13:A15"/>
    <mergeCell ref="B2:I2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4F835-2692-4CF1-BE84-F9AFE7E6B52F}">
  <sheetPr codeName="Sheet3"/>
  <dimension ref="B2:J14"/>
  <sheetViews>
    <sheetView showGridLines="0" tabSelected="1" workbookViewId="0">
      <selection activeCell="H5" sqref="H5"/>
    </sheetView>
  </sheetViews>
  <sheetFormatPr defaultRowHeight="14.5" x14ac:dyDescent="0.35"/>
  <cols>
    <col min="2" max="2" width="6.1796875" customWidth="1"/>
    <col min="3" max="3" width="32.08984375" customWidth="1"/>
    <col min="4" max="4" width="17.08984375" customWidth="1"/>
    <col min="8" max="8" width="29.81640625" customWidth="1"/>
    <col min="9" max="9" width="11.90625" customWidth="1"/>
    <col min="10" max="10" width="8" customWidth="1"/>
  </cols>
  <sheetData>
    <row r="2" spans="2:10" ht="15.5" x14ac:dyDescent="0.35">
      <c r="B2" s="104" t="s">
        <v>17</v>
      </c>
      <c r="C2" s="104"/>
      <c r="D2" s="104"/>
      <c r="H2" s="104" t="s">
        <v>129</v>
      </c>
      <c r="I2" s="104"/>
      <c r="J2" s="104"/>
    </row>
    <row r="3" spans="2:10" ht="4.5" customHeight="1" x14ac:dyDescent="0.35">
      <c r="B3" s="17"/>
      <c r="C3" s="17"/>
      <c r="D3" s="17"/>
      <c r="H3" s="17"/>
      <c r="I3" s="17"/>
      <c r="J3" s="17"/>
    </row>
    <row r="4" spans="2:10" ht="16.5" x14ac:dyDescent="0.45">
      <c r="B4" s="2" t="s">
        <v>119</v>
      </c>
      <c r="C4" t="s">
        <v>121</v>
      </c>
      <c r="D4" s="3">
        <v>15</v>
      </c>
      <c r="H4" t="s">
        <v>8</v>
      </c>
      <c r="I4" s="5"/>
    </row>
    <row r="5" spans="2:10" ht="16.5" x14ac:dyDescent="0.45">
      <c r="B5" s="2" t="s">
        <v>120</v>
      </c>
      <c r="C5" t="s">
        <v>122</v>
      </c>
      <c r="D5" s="3">
        <v>5</v>
      </c>
      <c r="H5" t="s">
        <v>9</v>
      </c>
      <c r="I5" s="5"/>
    </row>
    <row r="6" spans="2:10" ht="16.5" x14ac:dyDescent="0.45">
      <c r="B6" s="2" t="s">
        <v>82</v>
      </c>
      <c r="C6" t="s">
        <v>16</v>
      </c>
      <c r="D6" s="3">
        <v>10</v>
      </c>
      <c r="I6" s="5"/>
    </row>
    <row r="7" spans="2:10" x14ac:dyDescent="0.35">
      <c r="B7" s="2" t="s">
        <v>81</v>
      </c>
      <c r="C7" t="s">
        <v>18</v>
      </c>
      <c r="D7" s="3">
        <f>D4-D5</f>
        <v>10</v>
      </c>
      <c r="H7" t="s">
        <v>10</v>
      </c>
      <c r="I7" s="5"/>
    </row>
    <row r="8" spans="2:10" x14ac:dyDescent="0.35">
      <c r="B8" s="2" t="s">
        <v>123</v>
      </c>
      <c r="C8" t="s">
        <v>69</v>
      </c>
      <c r="D8" s="49">
        <v>50</v>
      </c>
      <c r="I8" s="5"/>
    </row>
    <row r="9" spans="2:10" x14ac:dyDescent="0.35">
      <c r="B9" s="2" t="s">
        <v>57</v>
      </c>
      <c r="C9" t="s">
        <v>19</v>
      </c>
      <c r="D9" s="4">
        <f>RE_giornaliera</f>
        <v>7.3448946458616371</v>
      </c>
      <c r="H9" t="s">
        <v>11</v>
      </c>
      <c r="I9" s="5"/>
    </row>
    <row r="10" spans="2:10" x14ac:dyDescent="0.35">
      <c r="B10" s="2" t="s">
        <v>80</v>
      </c>
      <c r="C10" t="s">
        <v>20</v>
      </c>
      <c r="D10" s="2">
        <v>2.3E-3</v>
      </c>
      <c r="H10" t="s">
        <v>12</v>
      </c>
      <c r="I10" s="5">
        <v>0.23</v>
      </c>
    </row>
    <row r="11" spans="2:10" ht="17" thickBot="1" x14ac:dyDescent="0.5">
      <c r="B11" s="21" t="s">
        <v>83</v>
      </c>
      <c r="C11" s="22" t="s">
        <v>15</v>
      </c>
      <c r="D11" s="92">
        <f>Param_Kc</f>
        <v>0.8833333333333333</v>
      </c>
      <c r="H11" t="s">
        <v>13</v>
      </c>
      <c r="I11" s="5">
        <v>2.88</v>
      </c>
    </row>
    <row r="12" spans="2:10" ht="17" thickTop="1" x14ac:dyDescent="0.45">
      <c r="B12" s="2" t="s">
        <v>78</v>
      </c>
      <c r="C12" t="s">
        <v>25</v>
      </c>
      <c r="D12" s="12">
        <f>HC_Hargreaves*RE_giornaliera*(Tmedia_Hargreaves+17.8)*POWER(DeltaT_Hargreaves,0.5)</f>
        <v>1.4851085645382163</v>
      </c>
      <c r="H12" t="s">
        <v>14</v>
      </c>
      <c r="I12" s="5">
        <v>0.12</v>
      </c>
    </row>
    <row r="13" spans="2:10" ht="16.5" x14ac:dyDescent="0.45">
      <c r="B13" s="2" t="s">
        <v>79</v>
      </c>
      <c r="C13" t="s">
        <v>24</v>
      </c>
      <c r="D13" s="12">
        <f>D12*D11</f>
        <v>1.3118458986754242</v>
      </c>
    </row>
    <row r="14" spans="2:10" x14ac:dyDescent="0.35">
      <c r="H14" t="s">
        <v>25</v>
      </c>
    </row>
  </sheetData>
  <mergeCells count="2">
    <mergeCell ref="H2:J2"/>
    <mergeCell ref="B2:D2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287C6-621C-4ED2-9EC8-9CDEE92ABC54}">
  <sheetPr codeName="Sheet4"/>
  <dimension ref="B2:D13"/>
  <sheetViews>
    <sheetView showGridLines="0" workbookViewId="0">
      <selection activeCell="E13" sqref="E13"/>
    </sheetView>
  </sheetViews>
  <sheetFormatPr defaultRowHeight="14.5" x14ac:dyDescent="0.35"/>
  <cols>
    <col min="2" max="2" width="3.6328125" customWidth="1"/>
    <col min="3" max="3" width="24.08984375" customWidth="1"/>
    <col min="4" max="4" width="17.36328125" customWidth="1"/>
  </cols>
  <sheetData>
    <row r="2" spans="2:4" x14ac:dyDescent="0.35">
      <c r="B2" s="101" t="s">
        <v>55</v>
      </c>
      <c r="C2" s="101"/>
      <c r="D2" s="101"/>
    </row>
    <row r="3" spans="2:4" ht="4" customHeight="1" x14ac:dyDescent="0.35">
      <c r="B3" s="2"/>
      <c r="C3" s="17"/>
      <c r="D3" s="17"/>
    </row>
    <row r="4" spans="2:4" x14ac:dyDescent="0.35">
      <c r="B4" s="105" t="s">
        <v>77</v>
      </c>
      <c r="C4" t="s">
        <v>69</v>
      </c>
      <c r="D4" s="5">
        <f>GiornoAnno</f>
        <v>50</v>
      </c>
    </row>
    <row r="5" spans="2:4" x14ac:dyDescent="0.35">
      <c r="B5" s="105"/>
      <c r="C5" t="s">
        <v>74</v>
      </c>
      <c r="D5" s="5">
        <f>Param_LatitudineDeg*PI()/180</f>
        <v>0.7976154681614086</v>
      </c>
    </row>
    <row r="6" spans="2:4" x14ac:dyDescent="0.35">
      <c r="B6" s="105"/>
      <c r="C6" t="s">
        <v>56</v>
      </c>
      <c r="D6" s="11">
        <v>8.2000000000000003E-2</v>
      </c>
    </row>
    <row r="7" spans="2:4" ht="11" customHeight="1" x14ac:dyDescent="0.35">
      <c r="D7" s="5"/>
    </row>
    <row r="8" spans="2:4" x14ac:dyDescent="0.35">
      <c r="B8" s="102" t="s">
        <v>76</v>
      </c>
      <c r="C8" t="s">
        <v>71</v>
      </c>
      <c r="D8" s="5">
        <f>0.409*SIN(2*PI()*D4/365-1.39)</f>
        <v>-0.2065124223366139</v>
      </c>
    </row>
    <row r="9" spans="2:4" x14ac:dyDescent="0.35">
      <c r="B9" s="102"/>
      <c r="C9" t="s">
        <v>73</v>
      </c>
      <c r="D9" s="5">
        <f>ACOS(-TAN(D5)*TAN(D8))</f>
        <v>1.3544303815338945</v>
      </c>
    </row>
    <row r="10" spans="2:4" ht="27.5" customHeight="1" x14ac:dyDescent="0.35">
      <c r="B10" s="102"/>
      <c r="C10" s="10" t="s">
        <v>72</v>
      </c>
      <c r="D10" s="5">
        <f>1+0.033*COS(2*PI()*D4/365)</f>
        <v>1.0215126668639976</v>
      </c>
    </row>
    <row r="11" spans="2:4" ht="4" customHeight="1" x14ac:dyDescent="0.35">
      <c r="C11" s="8"/>
      <c r="D11" s="16"/>
    </row>
    <row r="12" spans="2:4" x14ac:dyDescent="0.35">
      <c r="C12" s="15" t="s">
        <v>75</v>
      </c>
      <c r="D12" s="13">
        <f>(24*60)/PI()*D6*D10*(D9*SIN(D5)*SIN(D8)+COS(D5)*COS(D8)*SIN(D9))</f>
        <v>18.002192759464798</v>
      </c>
    </row>
    <row r="13" spans="2:4" x14ac:dyDescent="0.35">
      <c r="D13" s="14">
        <f>D12*0.408</f>
        <v>7.3448946458616371</v>
      </c>
    </row>
  </sheetData>
  <mergeCells count="3">
    <mergeCell ref="B2:D2"/>
    <mergeCell ref="B8:B10"/>
    <mergeCell ref="B4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F032-86F3-4B63-964B-D573421F788C}">
  <sheetPr codeName="Sheet5"/>
  <dimension ref="A1:G37"/>
  <sheetViews>
    <sheetView workbookViewId="0">
      <selection activeCell="J16" sqref="J16"/>
    </sheetView>
  </sheetViews>
  <sheetFormatPr defaultRowHeight="14.5" x14ac:dyDescent="0.35"/>
  <cols>
    <col min="1" max="1" width="19.6328125" customWidth="1"/>
    <col min="2" max="6" width="12.7265625" customWidth="1"/>
    <col min="7" max="7" width="13.7265625" customWidth="1"/>
  </cols>
  <sheetData>
    <row r="1" spans="1:7" x14ac:dyDescent="0.35">
      <c r="A1" t="s">
        <v>0</v>
      </c>
      <c r="B1" s="5" t="s">
        <v>1</v>
      </c>
    </row>
    <row r="2" spans="1:7" x14ac:dyDescent="0.35">
      <c r="A2" t="s">
        <v>2</v>
      </c>
      <c r="B2" s="1">
        <v>0.25</v>
      </c>
    </row>
    <row r="3" spans="1:7" x14ac:dyDescent="0.35">
      <c r="A3" t="s">
        <v>3</v>
      </c>
      <c r="B3" s="1">
        <v>0.45</v>
      </c>
    </row>
    <row r="4" spans="1:7" x14ac:dyDescent="0.35">
      <c r="A4" t="s">
        <v>4</v>
      </c>
      <c r="B4" s="1">
        <v>0.55000000000000004</v>
      </c>
    </row>
    <row r="5" spans="1:7" x14ac:dyDescent="0.35">
      <c r="A5" t="s">
        <v>5</v>
      </c>
      <c r="B5" s="1">
        <v>0.75</v>
      </c>
    </row>
    <row r="6" spans="1:7" x14ac:dyDescent="0.35">
      <c r="A6" t="s">
        <v>6</v>
      </c>
      <c r="B6" s="1">
        <v>0.9</v>
      </c>
    </row>
    <row r="10" spans="1:7" x14ac:dyDescent="0.35">
      <c r="A10" t="s">
        <v>26</v>
      </c>
      <c r="B10" s="2" t="s">
        <v>51</v>
      </c>
      <c r="C10" s="2" t="s">
        <v>52</v>
      </c>
      <c r="D10" s="2" t="s">
        <v>53</v>
      </c>
      <c r="E10" s="2" t="s">
        <v>54</v>
      </c>
      <c r="F10" s="2" t="s">
        <v>88</v>
      </c>
      <c r="G10" s="2" t="s">
        <v>32</v>
      </c>
    </row>
    <row r="11" spans="1:7" x14ac:dyDescent="0.35">
      <c r="A11" t="s">
        <v>34</v>
      </c>
      <c r="B11" s="2">
        <v>0.7</v>
      </c>
      <c r="C11" s="2"/>
      <c r="D11" s="2">
        <v>1</v>
      </c>
      <c r="E11" s="2">
        <v>0.7</v>
      </c>
      <c r="F11" s="23">
        <f>AVERAGE(Tabella_CoefficienteColturale[[#This Row],[Kc ini]:[Kc end]])</f>
        <v>0.79999999999999993</v>
      </c>
      <c r="G11" s="6">
        <v>0.3</v>
      </c>
    </row>
    <row r="12" spans="1:7" x14ac:dyDescent="0.35">
      <c r="A12" t="s">
        <v>27</v>
      </c>
      <c r="B12" s="2">
        <v>0.4</v>
      </c>
      <c r="C12" s="2"/>
      <c r="D12" s="2">
        <v>1</v>
      </c>
      <c r="E12" s="2">
        <v>0.75</v>
      </c>
      <c r="F12" s="23">
        <f>AVERAGE(Tabella_CoefficienteColturale[[#This Row],[Kc ini]:[Kc end]])</f>
        <v>0.71666666666666667</v>
      </c>
      <c r="G12" s="6">
        <v>0.4</v>
      </c>
    </row>
    <row r="13" spans="1:7" x14ac:dyDescent="0.35">
      <c r="A13" t="s">
        <v>33</v>
      </c>
      <c r="B13" s="2">
        <v>0.7</v>
      </c>
      <c r="C13" s="2"/>
      <c r="D13" s="2">
        <v>1.05</v>
      </c>
      <c r="E13" s="2">
        <v>0.95</v>
      </c>
      <c r="F13" s="23">
        <f>AVERAGE(Tabella_CoefficienteColturale[[#This Row],[Kc ini]:[Kc end]])</f>
        <v>0.9</v>
      </c>
      <c r="G13" s="6">
        <v>0.3</v>
      </c>
    </row>
    <row r="14" spans="1:7" x14ac:dyDescent="0.35">
      <c r="A14" t="s">
        <v>31</v>
      </c>
      <c r="B14" s="2">
        <v>0.7</v>
      </c>
      <c r="C14" s="2"/>
      <c r="D14" s="2">
        <v>1.05</v>
      </c>
      <c r="E14" s="2">
        <v>0.95</v>
      </c>
      <c r="F14" s="23">
        <f>AVERAGE(Tabella_CoefficienteColturale[[#This Row],[Kc ini]:[Kc end]])</f>
        <v>0.9</v>
      </c>
      <c r="G14" s="6">
        <v>0.4</v>
      </c>
    </row>
    <row r="15" spans="1:7" x14ac:dyDescent="0.35">
      <c r="A15" t="s">
        <v>43</v>
      </c>
      <c r="B15" s="2">
        <v>0.6</v>
      </c>
      <c r="C15" s="2"/>
      <c r="D15" s="2">
        <v>1</v>
      </c>
      <c r="E15" s="2">
        <v>0.75</v>
      </c>
      <c r="F15" s="23">
        <f>AVERAGE(Tabella_CoefficienteColturale[[#This Row],[Kc ini]:[Kc end]])</f>
        <v>0.78333333333333333</v>
      </c>
      <c r="G15" s="6">
        <v>0.3</v>
      </c>
    </row>
    <row r="16" spans="1:7" x14ac:dyDescent="0.35">
      <c r="A16" t="s">
        <v>37</v>
      </c>
      <c r="B16" s="2">
        <v>0.7</v>
      </c>
      <c r="C16" s="2"/>
      <c r="D16" s="2">
        <v>1</v>
      </c>
      <c r="E16" s="2">
        <v>0.75</v>
      </c>
      <c r="F16" s="23">
        <f>AVERAGE(Tabella_CoefficienteColturale[[#This Row],[Kc ini]:[Kc end]])</f>
        <v>0.81666666666666676</v>
      </c>
      <c r="G16" s="6">
        <v>0.4</v>
      </c>
    </row>
    <row r="17" spans="1:7" x14ac:dyDescent="0.35">
      <c r="A17" t="s">
        <v>98</v>
      </c>
      <c r="B17" s="2">
        <v>0.7</v>
      </c>
      <c r="C17" s="2"/>
      <c r="D17" s="2">
        <v>1.05</v>
      </c>
      <c r="E17" s="2">
        <v>0.75</v>
      </c>
      <c r="F17" s="23">
        <f>AVERAGE(Tabella_CoefficienteColturale[[#This Row],[Kc ini]:[Kc end]])</f>
        <v>0.83333333333333337</v>
      </c>
      <c r="G17" s="6">
        <v>0.4</v>
      </c>
    </row>
    <row r="18" spans="1:7" x14ac:dyDescent="0.35">
      <c r="A18" t="s">
        <v>90</v>
      </c>
      <c r="B18" s="2">
        <v>0.5</v>
      </c>
      <c r="C18" s="2"/>
      <c r="D18" s="2">
        <v>1.05</v>
      </c>
      <c r="E18" s="2">
        <v>0.9</v>
      </c>
      <c r="F18" s="23">
        <f>AVERAGE(Tabella_CoefficienteColturale[[#This Row],[Kc ini]:[Kc end]])</f>
        <v>0.81666666666666676</v>
      </c>
      <c r="G18" s="6">
        <v>0.4</v>
      </c>
    </row>
    <row r="19" spans="1:7" x14ac:dyDescent="0.35">
      <c r="A19" t="s">
        <v>91</v>
      </c>
      <c r="B19" s="2">
        <v>0.4</v>
      </c>
      <c r="C19" s="2"/>
      <c r="D19" s="2">
        <v>1.1499999999999999</v>
      </c>
      <c r="E19" s="2">
        <v>0.35</v>
      </c>
      <c r="F19" s="23">
        <f>AVERAGE(Tabella_CoefficienteColturale[[#This Row],[Kc ini]:[Kc end]])</f>
        <v>0.6333333333333333</v>
      </c>
      <c r="G19" s="6">
        <v>0.4</v>
      </c>
    </row>
    <row r="20" spans="1:7" x14ac:dyDescent="0.35">
      <c r="A20" t="s">
        <v>47</v>
      </c>
      <c r="B20" s="2">
        <v>0.5</v>
      </c>
      <c r="C20" s="2"/>
      <c r="D20" s="2">
        <v>1.1499999999999999</v>
      </c>
      <c r="E20" s="2">
        <v>1.1000000000000001</v>
      </c>
      <c r="F20" s="23">
        <f>AVERAGE(Tabella_CoefficienteColturale[[#This Row],[Kc ini]:[Kc end]])</f>
        <v>0.91666666666666663</v>
      </c>
      <c r="G20" s="6">
        <v>0.8</v>
      </c>
    </row>
    <row r="21" spans="1:7" x14ac:dyDescent="0.35">
      <c r="A21" t="s">
        <v>89</v>
      </c>
      <c r="B21" s="2">
        <v>0.5</v>
      </c>
      <c r="C21" s="2"/>
      <c r="D21" s="2">
        <v>1.1499999999999999</v>
      </c>
      <c r="E21" s="2">
        <v>0.3</v>
      </c>
      <c r="F21" s="23">
        <f>AVERAGE(Tabella_CoefficienteColturale[[#This Row],[Kc ini]:[Kc end]])</f>
        <v>0.65</v>
      </c>
      <c r="G21" s="6">
        <v>0.8</v>
      </c>
    </row>
    <row r="22" spans="1:7" x14ac:dyDescent="0.35">
      <c r="A22" t="s">
        <v>48</v>
      </c>
      <c r="B22" s="2">
        <v>0.4</v>
      </c>
      <c r="C22" s="2"/>
      <c r="D22" s="2">
        <v>0.85</v>
      </c>
      <c r="E22" s="2">
        <v>0.75</v>
      </c>
      <c r="F22" s="23">
        <f>AVERAGE(Tabella_CoefficienteColturale[[#This Row],[Kc ini]:[Kc end]])</f>
        <v>0.66666666666666663</v>
      </c>
      <c r="G22" s="6">
        <v>0.2</v>
      </c>
    </row>
    <row r="23" spans="1:7" x14ac:dyDescent="0.35">
      <c r="A23" t="s">
        <v>95</v>
      </c>
      <c r="B23" s="2">
        <v>0.5</v>
      </c>
      <c r="C23" s="2"/>
      <c r="D23" s="2">
        <v>1.1499999999999999</v>
      </c>
      <c r="E23" s="2">
        <v>0.35</v>
      </c>
      <c r="F23" s="23">
        <f>AVERAGE(Tabella_CoefficienteColturale[[#This Row],[Kc ini]:[Kc end]])</f>
        <v>0.66666666666666663</v>
      </c>
      <c r="G23" s="6">
        <v>1</v>
      </c>
    </row>
    <row r="24" spans="1:7" x14ac:dyDescent="0.35">
      <c r="A24" t="s">
        <v>36</v>
      </c>
      <c r="B24" s="2">
        <v>0.7</v>
      </c>
      <c r="C24" s="2"/>
      <c r="D24" s="2">
        <v>1</v>
      </c>
      <c r="E24" s="2">
        <v>0.95</v>
      </c>
      <c r="F24" s="23">
        <f>AVERAGE(Tabella_CoefficienteColturale[[#This Row],[Kc ini]:[Kc end]])</f>
        <v>0.8833333333333333</v>
      </c>
      <c r="G24" s="6">
        <v>0.3</v>
      </c>
    </row>
    <row r="25" spans="1:7" x14ac:dyDescent="0.35">
      <c r="A25" t="s">
        <v>97</v>
      </c>
      <c r="B25" s="2">
        <v>0.5</v>
      </c>
      <c r="C25" s="2"/>
      <c r="D25" s="2">
        <v>1.1499999999999999</v>
      </c>
      <c r="E25" s="2">
        <v>1.05</v>
      </c>
      <c r="F25" s="23">
        <f>AVERAGE(Tabella_CoefficienteColturale[[#This Row],[Kc ini]:[Kc end]])</f>
        <v>0.9</v>
      </c>
      <c r="G25" s="6">
        <v>1.5</v>
      </c>
    </row>
    <row r="26" spans="1:7" x14ac:dyDescent="0.35">
      <c r="A26" t="s">
        <v>96</v>
      </c>
      <c r="B26" s="2">
        <v>0.5</v>
      </c>
      <c r="C26" s="2"/>
      <c r="D26" s="2">
        <v>1.2</v>
      </c>
      <c r="E26" s="2">
        <v>0.5</v>
      </c>
      <c r="F26" s="23">
        <f>AVERAGE(Tabella_CoefficienteColturale[[#This Row],[Kc ini]:[Kc end]])</f>
        <v>0.73333333333333339</v>
      </c>
      <c r="G26" s="6">
        <v>2</v>
      </c>
    </row>
    <row r="27" spans="1:7" x14ac:dyDescent="0.35">
      <c r="A27" t="s">
        <v>40</v>
      </c>
      <c r="B27" s="2">
        <v>0.6</v>
      </c>
      <c r="C27" s="2"/>
      <c r="D27" s="2">
        <v>1.05</v>
      </c>
      <c r="E27" s="2">
        <v>0.9</v>
      </c>
      <c r="F27" s="23">
        <f>AVERAGE(Tabella_CoefficienteColturale[[#This Row],[Kc ini]:[Kc end]])</f>
        <v>0.85</v>
      </c>
      <c r="G27" s="6">
        <v>0.8</v>
      </c>
    </row>
    <row r="28" spans="1:7" x14ac:dyDescent="0.35">
      <c r="A28" t="s">
        <v>45</v>
      </c>
      <c r="B28" s="2">
        <v>0.5</v>
      </c>
      <c r="C28" s="2"/>
      <c r="D28" s="2">
        <v>1.05</v>
      </c>
      <c r="E28" s="2">
        <v>0.75</v>
      </c>
      <c r="F28" s="23">
        <f>AVERAGE(Tabella_CoefficienteColturale[[#This Row],[Kc ini]:[Kc end]])</f>
        <v>0.76666666666666661</v>
      </c>
      <c r="G28" s="6">
        <v>0.4</v>
      </c>
    </row>
    <row r="29" spans="1:7" x14ac:dyDescent="0.35">
      <c r="A29" t="s">
        <v>94</v>
      </c>
      <c r="B29" s="2">
        <v>0.3</v>
      </c>
      <c r="C29" s="2"/>
      <c r="D29" s="2">
        <v>1.1499999999999999</v>
      </c>
      <c r="E29" s="2">
        <v>0.25</v>
      </c>
      <c r="F29" s="23">
        <f>AVERAGE(Tabella_CoefficienteColturale[[#This Row],[Kc ini]:[Kc end]])</f>
        <v>0.56666666666666665</v>
      </c>
      <c r="G29" s="6">
        <v>1</v>
      </c>
    </row>
    <row r="30" spans="1:7" x14ac:dyDescent="0.35">
      <c r="A30" t="s">
        <v>46</v>
      </c>
      <c r="B30" s="2">
        <v>0.5</v>
      </c>
      <c r="C30" s="2"/>
      <c r="D30" s="2">
        <v>1.1499999999999999</v>
      </c>
      <c r="E30" s="2">
        <v>0.75</v>
      </c>
      <c r="F30" s="23">
        <f>AVERAGE(Tabella_CoefficienteColturale[[#This Row],[Kc ini]:[Kc end]])</f>
        <v>0.79999999999999993</v>
      </c>
      <c r="G30" s="6">
        <v>0.6</v>
      </c>
    </row>
    <row r="31" spans="1:7" x14ac:dyDescent="0.35">
      <c r="A31" t="s">
        <v>41</v>
      </c>
      <c r="B31" s="2">
        <v>0.6</v>
      </c>
      <c r="C31" s="2"/>
      <c r="D31" s="2">
        <v>1.05</v>
      </c>
      <c r="E31" s="2">
        <v>0.9</v>
      </c>
      <c r="F31" s="23">
        <f>AVERAGE(Tabella_CoefficienteColturale[[#This Row],[Kc ini]:[Kc end]])</f>
        <v>0.85</v>
      </c>
      <c r="G31" s="6">
        <v>0.7</v>
      </c>
    </row>
    <row r="32" spans="1:7" x14ac:dyDescent="0.35">
      <c r="A32" t="s">
        <v>92</v>
      </c>
      <c r="B32" s="2">
        <v>0.5</v>
      </c>
      <c r="C32" s="2"/>
      <c r="D32" s="2">
        <v>1.1499999999999999</v>
      </c>
      <c r="E32" s="2">
        <v>1.1000000000000001</v>
      </c>
      <c r="F32" s="23">
        <f>AVERAGE(Tabella_CoefficienteColturale[[#This Row],[Kc ini]:[Kc end]])</f>
        <v>0.91666666666666663</v>
      </c>
      <c r="G32" s="6">
        <v>0.5</v>
      </c>
    </row>
    <row r="33" spans="1:7" x14ac:dyDescent="0.35">
      <c r="A33" t="s">
        <v>93</v>
      </c>
      <c r="B33" s="2">
        <v>0.5</v>
      </c>
      <c r="C33" s="2"/>
      <c r="D33" s="2">
        <v>1.1499999999999999</v>
      </c>
      <c r="E33" s="2">
        <v>0.3</v>
      </c>
      <c r="F33" s="23">
        <f>AVERAGE(Tabella_CoefficienteColturale[[#This Row],[Kc ini]:[Kc end]])</f>
        <v>0.65</v>
      </c>
      <c r="G33" s="6">
        <v>0.5</v>
      </c>
    </row>
    <row r="34" spans="1:7" x14ac:dyDescent="0.35">
      <c r="A34" t="s">
        <v>42</v>
      </c>
      <c r="B34" s="2">
        <v>0.6</v>
      </c>
      <c r="C34" s="2"/>
      <c r="D34" s="2">
        <v>1.1499999999999999</v>
      </c>
      <c r="E34" s="2">
        <v>0.8</v>
      </c>
      <c r="F34" s="23">
        <f>AVERAGE(Tabella_CoefficienteColturale[[#This Row],[Kc ini]:[Kc end]])</f>
        <v>0.85</v>
      </c>
      <c r="G34" s="6">
        <v>0.6</v>
      </c>
    </row>
    <row r="35" spans="1:7" x14ac:dyDescent="0.35">
      <c r="A35" t="s">
        <v>39</v>
      </c>
      <c r="B35" s="2">
        <v>0.7</v>
      </c>
      <c r="C35" s="2"/>
      <c r="D35" s="2">
        <v>0.9</v>
      </c>
      <c r="E35" s="2">
        <v>0.85</v>
      </c>
      <c r="F35" s="23">
        <f>AVERAGE(Tabella_CoefficienteColturale[[#This Row],[Kc ini]:[Kc end]])</f>
        <v>0.81666666666666676</v>
      </c>
      <c r="G35" s="6">
        <v>0.3</v>
      </c>
    </row>
    <row r="36" spans="1:7" x14ac:dyDescent="0.35">
      <c r="A36" t="s">
        <v>38</v>
      </c>
      <c r="B36" s="2">
        <v>0.7</v>
      </c>
      <c r="C36" s="2"/>
      <c r="D36" s="2">
        <v>1</v>
      </c>
      <c r="E36" s="2">
        <v>0.95</v>
      </c>
      <c r="F36" s="23">
        <f>AVERAGE(Tabella_CoefficienteColturale[[#This Row],[Kc ini]:[Kc end]])</f>
        <v>0.8833333333333333</v>
      </c>
      <c r="G36" s="6">
        <v>0.3</v>
      </c>
    </row>
    <row r="37" spans="1:7" x14ac:dyDescent="0.35">
      <c r="A37" t="s">
        <v>44</v>
      </c>
      <c r="B37" s="2">
        <v>0.5</v>
      </c>
      <c r="C37" s="2"/>
      <c r="D37" s="2">
        <v>0.95</v>
      </c>
      <c r="E37" s="2">
        <v>0.75</v>
      </c>
      <c r="F37" s="23">
        <f>AVERAGE(Tabella_CoefficienteColturale[[#This Row],[Kc ini]:[Kc end]])</f>
        <v>0.73333333333333339</v>
      </c>
      <c r="G37" s="6">
        <v>0.3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40A1-F4E7-4E61-B9AC-A09779F55F03}">
  <sheetPr codeName="Sheet6"/>
  <dimension ref="A1:A14"/>
  <sheetViews>
    <sheetView workbookViewId="0">
      <selection activeCell="G38" sqref="G38"/>
    </sheetView>
  </sheetViews>
  <sheetFormatPr defaultRowHeight="14.5" x14ac:dyDescent="0.35"/>
  <cols>
    <col min="1" max="1" width="26.7265625" customWidth="1"/>
  </cols>
  <sheetData>
    <row r="1" spans="1:1" x14ac:dyDescent="0.35">
      <c r="A1" t="s">
        <v>65</v>
      </c>
    </row>
    <row r="2" spans="1:1" x14ac:dyDescent="0.35">
      <c r="A2" t="s">
        <v>66</v>
      </c>
    </row>
    <row r="3" spans="1:1" x14ac:dyDescent="0.35">
      <c r="A3" t="s">
        <v>112</v>
      </c>
    </row>
    <row r="5" spans="1:1" x14ac:dyDescent="0.35">
      <c r="A5" t="s">
        <v>59</v>
      </c>
    </row>
    <row r="6" spans="1:1" x14ac:dyDescent="0.35">
      <c r="A6" t="s">
        <v>28</v>
      </c>
    </row>
    <row r="7" spans="1:1" x14ac:dyDescent="0.35">
      <c r="A7" t="s">
        <v>29</v>
      </c>
    </row>
    <row r="8" spans="1:1" x14ac:dyDescent="0.35">
      <c r="A8" t="s">
        <v>99</v>
      </c>
    </row>
    <row r="9" spans="1:1" x14ac:dyDescent="0.35">
      <c r="A9" t="s">
        <v>30</v>
      </c>
    </row>
    <row r="10" spans="1:1" x14ac:dyDescent="0.35">
      <c r="A10" t="s">
        <v>100</v>
      </c>
    </row>
    <row r="12" spans="1:1" x14ac:dyDescent="0.35">
      <c r="A12" t="s">
        <v>85</v>
      </c>
    </row>
    <row r="13" spans="1:1" x14ac:dyDescent="0.35">
      <c r="A13" t="s">
        <v>86</v>
      </c>
    </row>
    <row r="14" spans="1:1" x14ac:dyDescent="0.35">
      <c r="A14" t="s">
        <v>87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53B6E-4DB7-495E-A305-9C536B8B7224}">
  <sheetPr codeName="Sheet7"/>
  <dimension ref="A1:A2"/>
  <sheetViews>
    <sheetView workbookViewId="0">
      <selection activeCell="A50" sqref="A50"/>
    </sheetView>
  </sheetViews>
  <sheetFormatPr defaultRowHeight="14.5" x14ac:dyDescent="0.35"/>
  <cols>
    <col min="1" max="1" width="169.7265625" customWidth="1"/>
  </cols>
  <sheetData>
    <row r="1" spans="1:1" x14ac:dyDescent="0.35">
      <c r="A1" t="s">
        <v>7</v>
      </c>
    </row>
    <row r="2" spans="1:1" x14ac:dyDescent="0.35">
      <c r="A2" s="91" t="s">
        <v>35</v>
      </c>
    </row>
  </sheetData>
  <hyperlinks>
    <hyperlink ref="A2" r:id="rId1" xr:uid="{F86DCB44-AC79-4134-9AE4-88C440E5F37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Fabbisogno irriguo</vt:lpstr>
      <vt:lpstr>Dati meteo</vt:lpstr>
      <vt:lpstr>Evapotraspirazione</vt:lpstr>
      <vt:lpstr>Radiazione solare</vt:lpstr>
      <vt:lpstr>Data</vt:lpstr>
      <vt:lpstr>Data validation</vt:lpstr>
      <vt:lpstr>Reference</vt:lpstr>
      <vt:lpstr>CostanteSolare</vt:lpstr>
      <vt:lpstr>Data_DeltaT</vt:lpstr>
      <vt:lpstr>Data_ET0_fao</vt:lpstr>
      <vt:lpstr>Data_ET0_Hargreaves</vt:lpstr>
      <vt:lpstr>Data_Giorno</vt:lpstr>
      <vt:lpstr>Data_PioggiaNetta</vt:lpstr>
      <vt:lpstr>Data_PrecipitazioniTot</vt:lpstr>
      <vt:lpstr>Data_RadiazioneSolareInc</vt:lpstr>
      <vt:lpstr>Data_Tmax</vt:lpstr>
      <vt:lpstr>Data_Tmed</vt:lpstr>
      <vt:lpstr>Data_Tmin</vt:lpstr>
      <vt:lpstr>Data_Umidità</vt:lpstr>
      <vt:lpstr>Data_VelocitàVento</vt:lpstr>
      <vt:lpstr>DeltaT_Hargreaves</vt:lpstr>
      <vt:lpstr>DV_Coltura</vt:lpstr>
      <vt:lpstr>DV_FormuleET</vt:lpstr>
      <vt:lpstr>DV_MetodoIrriguo</vt:lpstr>
      <vt:lpstr>DV_StadioColturale</vt:lpstr>
      <vt:lpstr>DV_StatoAppezzamento</vt:lpstr>
      <vt:lpstr>ET0_Hargreaves</vt:lpstr>
      <vt:lpstr>ETp_Hargreaves</vt:lpstr>
      <vt:lpstr>GiornoAnno</vt:lpstr>
      <vt:lpstr>HC_Hargreaves</vt:lpstr>
      <vt:lpstr>Param_CoeffPioggiaNetta</vt:lpstr>
      <vt:lpstr>Param_Coltura</vt:lpstr>
      <vt:lpstr>Param_EffIrr</vt:lpstr>
      <vt:lpstr>Param_ET0_fao_settimanale</vt:lpstr>
      <vt:lpstr>Param_ET0_Hargreaves_settimanale</vt:lpstr>
      <vt:lpstr>Param_ETr</vt:lpstr>
      <vt:lpstr>Param_Kc</vt:lpstr>
      <vt:lpstr>Param_LatitudineDeg</vt:lpstr>
      <vt:lpstr>Param_LongitudineDeg</vt:lpstr>
      <vt:lpstr>Param_PioggiaNetta_sett</vt:lpstr>
      <vt:lpstr>Param_StadioColturale</vt:lpstr>
      <vt:lpstr>Param_StatoAppezzamento</vt:lpstr>
      <vt:lpstr>RE_giornaliera</vt:lpstr>
      <vt:lpstr>Tmedia_Hargreaves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Sertori</dc:creator>
  <cp:lastModifiedBy>Lorenzo Sertori</cp:lastModifiedBy>
  <dcterms:created xsi:type="dcterms:W3CDTF">2023-02-21T11:16:34Z</dcterms:created>
  <dcterms:modified xsi:type="dcterms:W3CDTF">2023-02-25T16:42:21Z</dcterms:modified>
</cp:coreProperties>
</file>